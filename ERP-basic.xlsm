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7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filterPrivacy="1" codeName="ThisWorkbook" defaultThemeVersion="166925"/>
  <xr:revisionPtr revIDLastSave="0" documentId="13_ncr:1_{C7F51864-905C-4930-A0BB-4333837577CD}" xr6:coauthVersionLast="47" xr6:coauthVersionMax="47" xr10:uidLastSave="{00000000-0000-0000-0000-000000000000}"/>
  <bookViews>
    <workbookView xWindow="-120" yWindow="-120" windowWidth="29040" windowHeight="15840" activeTab="4" xr2:uid="{5C247919-15E9-4DBE-8DBE-C0F90283127B}"/>
  </bookViews>
  <sheets>
    <sheet name="Clientes" sheetId="2" r:id="rId1"/>
    <sheet name="Cotizador" sheetId="1" r:id="rId2"/>
    <sheet name="Cotizador(Hoja2)" sheetId="22" r:id="rId3"/>
    <sheet name="Cotizador(Hoja3)" sheetId="23" r:id="rId4"/>
    <sheet name="Facturacion" sheetId="13" r:id="rId5"/>
    <sheet name="Remitos" sheetId="16" r:id="rId6"/>
    <sheet name="Nota de Credito" sheetId="24" r:id="rId7"/>
    <sheet name="Registro de Facturas" sheetId="14" r:id="rId8"/>
    <sheet name="Configuracion" sheetId="4" r:id="rId9"/>
    <sheet name="Buscador" sheetId="9" r:id="rId10"/>
    <sheet name="Lista Reposicion" sheetId="8" r:id="rId11"/>
    <sheet name="Lista Mayorista" sheetId="10" r:id="rId12"/>
    <sheet name="Lista Gremio" sheetId="11" r:id="rId13"/>
    <sheet name="Lista Mostrador" sheetId="12" r:id="rId14"/>
  </sheets>
  <functionGroups builtInGroupCount="19"/>
  <definedNames>
    <definedName name="_xlnm.Print_Area" localSheetId="1">'Cotizador'!$A$1:$G$55</definedName>
    <definedName name="_xlnm.Print_Area" localSheetId="2">'Cotizador(Hoja2)'!$A$1:$G$55</definedName>
    <definedName name="_xlnm.Print_Area" localSheetId="3">'Cotizador(Hoja3)'!$A$1:$G$55</definedName>
    <definedName name="_xlnm.Print_Area" localSheetId="4">Facturacion!$A$1:$G$61</definedName>
    <definedName name="_xlnm.Print_Area" localSheetId="6">'Nota de Credito'!$A$1:$G$61</definedName>
    <definedName name="_xlnm.Print_Area" localSheetId="5">Remitos!$A$1:$G$61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4" i="24" l="1"/>
  <c r="G14" i="16"/>
  <c r="G19" i="1"/>
  <c r="F13" i="1"/>
  <c r="G14" i="13"/>
  <c r="B12" i="1"/>
  <c r="B16" i="1"/>
  <c r="B15" i="1"/>
  <c r="G14" i="1"/>
  <c r="B14" i="1"/>
  <c r="B13" i="1"/>
  <c r="F12" i="22" l="1"/>
  <c r="G39" i="1"/>
  <c r="G40" i="1"/>
  <c r="G49" i="1"/>
  <c r="G50" i="1"/>
  <c r="G51" i="1"/>
  <c r="B15" i="22" l="1"/>
  <c r="F13" i="22"/>
  <c r="G14" i="22"/>
  <c r="B16" i="22"/>
  <c r="B14" i="22"/>
  <c r="B13" i="22"/>
  <c r="B12" i="22"/>
  <c r="G20" i="1" l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 l="1"/>
  <c r="G37" i="1"/>
  <c r="G38" i="1"/>
  <c r="G41" i="1"/>
  <c r="G42" i="1"/>
  <c r="G43" i="1"/>
  <c r="G44" i="1"/>
  <c r="G45" i="1"/>
  <c r="G46" i="1"/>
  <c r="G47" i="1"/>
  <c r="G48" i="1"/>
  <c r="G20" i="22" l="1"/>
  <c r="G21" i="22"/>
  <c r="G22" i="22"/>
  <c r="G19" i="22"/>
  <c r="F12" i="23" l="1"/>
  <c r="G14" i="23" l="1"/>
  <c r="B12" i="23"/>
  <c r="F13" i="23"/>
  <c r="B14" i="23"/>
  <c r="B13" i="23"/>
  <c r="B15" i="23"/>
  <c r="B16" i="23"/>
  <c r="G23" i="22"/>
  <c r="G24" i="22"/>
  <c r="D54" i="1" s="1"/>
  <c r="G31" i="22"/>
  <c r="G32" i="22"/>
  <c r="G39" i="22"/>
  <c r="G40" i="22"/>
  <c r="G47" i="22"/>
  <c r="G48" i="22"/>
  <c r="G52" i="23"/>
  <c r="G51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G26" i="23"/>
  <c r="G25" i="23"/>
  <c r="G24" i="23"/>
  <c r="G23" i="23"/>
  <c r="G22" i="23"/>
  <c r="G21" i="23"/>
  <c r="G20" i="23"/>
  <c r="G19" i="23"/>
  <c r="G52" i="22"/>
  <c r="G51" i="22"/>
  <c r="G50" i="22"/>
  <c r="G49" i="22"/>
  <c r="G46" i="22"/>
  <c r="G45" i="22"/>
  <c r="G44" i="22"/>
  <c r="G43" i="22"/>
  <c r="G42" i="22"/>
  <c r="G41" i="22"/>
  <c r="G38" i="22"/>
  <c r="G37" i="22"/>
  <c r="G36" i="22"/>
  <c r="G35" i="22"/>
  <c r="G34" i="22"/>
  <c r="G33" i="22"/>
  <c r="G30" i="22"/>
  <c r="G29" i="22"/>
  <c r="G28" i="22"/>
  <c r="G27" i="22"/>
  <c r="G26" i="22"/>
  <c r="G25" i="22"/>
  <c r="D54" i="23" l="1"/>
  <c r="D54" i="22"/>
  <c r="E54" i="23" l="1"/>
  <c r="E54" i="22"/>
  <c r="E54" i="1"/>
  <c r="A54" i="1"/>
  <c r="A54" i="22"/>
  <c r="A54" i="23"/>
  <c r="G54" i="23" l="1"/>
  <c r="G54" i="22"/>
  <c r="G54" i="1"/>
</calcChain>
</file>

<file path=xl/sharedStrings.xml><?xml version="1.0" encoding="utf-8"?>
<sst xmlns="http://schemas.openxmlformats.org/spreadsheetml/2006/main" count="326" uniqueCount="93">
  <si>
    <t>Señor/es:</t>
  </si>
  <si>
    <t xml:space="preserve">Domicilio: </t>
  </si>
  <si>
    <t xml:space="preserve">Condición de pago: </t>
  </si>
  <si>
    <t>Orden de Compra:</t>
  </si>
  <si>
    <t>IVA:</t>
  </si>
  <si>
    <t>Cant.</t>
  </si>
  <si>
    <t>Cod.</t>
  </si>
  <si>
    <t>DESCRIPCION</t>
  </si>
  <si>
    <t>-</t>
  </si>
  <si>
    <t>IVA %</t>
  </si>
  <si>
    <t>Precio Uni</t>
  </si>
  <si>
    <t>IMPORTE</t>
  </si>
  <si>
    <t>PER. IIBB Bs. As. %</t>
  </si>
  <si>
    <t>IVA 10.5%</t>
  </si>
  <si>
    <t>IVA 21,0%</t>
  </si>
  <si>
    <t>TOTAL</t>
  </si>
  <si>
    <t>Cliente:</t>
  </si>
  <si>
    <t xml:space="preserve">SUBTOTAL   </t>
  </si>
  <si>
    <t>FECHA:</t>
  </si>
  <si>
    <t>N° :</t>
  </si>
  <si>
    <t>DESC</t>
  </si>
  <si>
    <t>Cliente</t>
  </si>
  <si>
    <t xml:space="preserve">Domicilio1: </t>
  </si>
  <si>
    <t xml:space="preserve">Domicilio2: </t>
  </si>
  <si>
    <t xml:space="preserve">Domicilio3: </t>
  </si>
  <si>
    <t>IVA</t>
  </si>
  <si>
    <t>CUIT</t>
  </si>
  <si>
    <t>Condicion de pago</t>
  </si>
  <si>
    <t>MAIL</t>
  </si>
  <si>
    <t>Whatsapp</t>
  </si>
  <si>
    <t>CONSUMIDOR FINAL</t>
  </si>
  <si>
    <t>Contado</t>
  </si>
  <si>
    <t>Consumidor final</t>
  </si>
  <si>
    <t>Contactado</t>
  </si>
  <si>
    <t>Código</t>
  </si>
  <si>
    <t>Descripción</t>
  </si>
  <si>
    <t>Buscador</t>
  </si>
  <si>
    <t>CotizacionDolar</t>
  </si>
  <si>
    <t>Codigo</t>
  </si>
  <si>
    <t>Marca</t>
  </si>
  <si>
    <t>Categoria</t>
  </si>
  <si>
    <t>Descripcion</t>
  </si>
  <si>
    <t>Moneda</t>
  </si>
  <si>
    <t>Precio de Lista s/IVA</t>
  </si>
  <si>
    <t>Precio de Lista ARS s/IVA</t>
  </si>
  <si>
    <t>Descuento</t>
  </si>
  <si>
    <t>Precio Neto s/IVA</t>
  </si>
  <si>
    <t>Precio Neto c/IVA</t>
  </si>
  <si>
    <t>Categoría</t>
  </si>
  <si>
    <t>Ganancia</t>
  </si>
  <si>
    <t>Precio Final s/IVA</t>
  </si>
  <si>
    <t>Precio Final c/IVA</t>
  </si>
  <si>
    <t>Lista Mostrador</t>
  </si>
  <si>
    <t>Desc.</t>
  </si>
  <si>
    <t>CAE:</t>
  </si>
  <si>
    <t>Vencimiento:</t>
  </si>
  <si>
    <t>Factura N° :</t>
  </si>
  <si>
    <t>Token:</t>
  </si>
  <si>
    <t>Firma:</t>
  </si>
  <si>
    <t>Cuit:</t>
  </si>
  <si>
    <t>Fecha de Expiracion</t>
  </si>
  <si>
    <t>Punto de Venta:</t>
  </si>
  <si>
    <t>CUIT:</t>
  </si>
  <si>
    <t>Se entrega</t>
  </si>
  <si>
    <t>Faltante</t>
  </si>
  <si>
    <t>Fecha Estimada</t>
  </si>
  <si>
    <t>Fecha</t>
  </si>
  <si>
    <t>N Factura</t>
  </si>
  <si>
    <t>Cuit</t>
  </si>
  <si>
    <t>Monto</t>
  </si>
  <si>
    <t>Vendedor:</t>
  </si>
  <si>
    <t>Remito:</t>
  </si>
  <si>
    <t>3 de 3</t>
  </si>
  <si>
    <t>Página:</t>
  </si>
  <si>
    <t>2 de 2</t>
  </si>
  <si>
    <t>precio sin iva</t>
  </si>
  <si>
    <t>importe s/iva</t>
  </si>
  <si>
    <t>subtotal/iva</t>
  </si>
  <si>
    <t>Auxiliar Facturas Iva Exento</t>
  </si>
  <si>
    <t>Nota de Credito N° :</t>
  </si>
  <si>
    <t>iva</t>
  </si>
  <si>
    <t>Cod.01</t>
  </si>
  <si>
    <t>Tel:</t>
  </si>
  <si>
    <t>E-mail:</t>
  </si>
  <si>
    <t>Web:</t>
  </si>
  <si>
    <t>Ingresos Brutos:</t>
  </si>
  <si>
    <t>Razon social:</t>
  </si>
  <si>
    <t>INICIO ACTIVIDAD:</t>
  </si>
  <si>
    <t>I.V.A.</t>
  </si>
  <si>
    <t>Fecha:</t>
  </si>
  <si>
    <t>NC</t>
  </si>
  <si>
    <t>B</t>
  </si>
  <si>
    <t>Cod.006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</si>
</sst>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£&quot;* #,##0.00_);_(&quot;£&quot;* \(#,##0.00\);_(&quot;£&quot;* &quot;-&quot;??_);_(@_)"/>
    <numFmt numFmtId="165" formatCode="_(* #,##0.00_);_(* \(#,##0.00\);_(* &quot;-&quot;??_);_(@_)"/>
    <numFmt numFmtId="166" formatCode="0.0%"/>
    <numFmt numFmtId="167" formatCode="0.0"/>
    <numFmt numFmtId="168" formatCode="&quot;£&quot;\ #,##0.00"/>
    <numFmt numFmtId="169" formatCode="[$$-2C0A]\ #,##0.00"/>
    <numFmt numFmtId="170" formatCode="dd/mm/yyyy\ hh:mm:ss"/>
    <numFmt numFmtId="171" formatCode="dd/mm/yyyy;@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sz val="10"/>
      <color rgb="FF000000"/>
      <name val="Calibri Light"/>
      <family val="2"/>
      <scheme val="major"/>
    </font>
    <font>
      <sz val="10"/>
      <name val="Calibri Light"/>
      <family val="2"/>
      <scheme val="major"/>
    </font>
    <font>
      <b/>
      <sz val="10"/>
      <color rgb="FF000000"/>
      <name val="Calibri Light"/>
      <family val="2"/>
      <scheme val="maj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48"/>
      <color theme="1"/>
      <name val="Calibri Light"/>
      <family val="2"/>
      <scheme val="major"/>
    </font>
    <font>
      <sz val="10"/>
      <color rgb="FF000000"/>
      <name val="Courier New"/>
      <family val="3"/>
    </font>
    <font>
      <b/>
      <sz val="8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8"/>
      <color rgb="FF000000"/>
      <name val="Calibri"/>
      <family val="2"/>
    </font>
    <font>
      <sz val="8"/>
      <name val="Calibri"/>
      <family val="2"/>
    </font>
    <font>
      <sz val="8"/>
      <color rgb="FF000000"/>
      <name val="Times New Roman"/>
      <family val="1"/>
    </font>
    <font>
      <b/>
      <sz val="12"/>
      <color theme="1"/>
      <name val="Calibri Light"/>
      <family val="2"/>
      <scheme val="major"/>
    </font>
    <font>
      <sz val="8"/>
      <color rgb="FF000000"/>
      <name val="Calibri"/>
      <family val="2"/>
      <scheme val="minor"/>
    </font>
    <font>
      <sz val="22"/>
      <color theme="1"/>
      <name val="Calibri Light"/>
      <family val="2"/>
      <scheme val="major"/>
    </font>
    <font>
      <sz val="8"/>
      <color theme="0"/>
      <name val="Calibri"/>
      <family val="2"/>
      <scheme val="minor"/>
    </font>
    <font>
      <sz val="8"/>
      <color theme="0"/>
      <name val="Times New Roman"/>
      <family val="1"/>
    </font>
    <font>
      <b/>
      <sz val="10"/>
      <name val="Calibri Light"/>
      <family val="2"/>
      <scheme val="major"/>
    </font>
    <font>
      <sz val="10"/>
      <color rgb="FF000000"/>
      <name val="CIDFont+F6"/>
    </font>
    <font>
      <sz val="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CC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rgb="FF92D050"/>
      </bottom>
      <diagonal/>
    </border>
    <border>
      <left/>
      <right/>
      <top style="medium">
        <color rgb="FF92D05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1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166" fontId="5" fillId="0" borderId="0" xfId="0" applyNumberFormat="1" applyFont="1" applyAlignment="1">
      <alignment vertical="top"/>
    </xf>
    <xf numFmtId="0" fontId="5" fillId="0" borderId="1" xfId="0" applyFont="1" applyBorder="1" applyAlignment="1">
      <alignment horizontal="left" vertical="top"/>
    </xf>
    <xf numFmtId="166" fontId="5" fillId="0" borderId="1" xfId="0" applyNumberFormat="1" applyFont="1" applyBorder="1" applyAlignment="1">
      <alignment vertical="top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right" vertical="top"/>
    </xf>
    <xf numFmtId="0" fontId="8" fillId="0" borderId="0" xfId="0" applyFont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5" fillId="0" borderId="0" xfId="0" applyNumberFormat="1" applyFont="1" applyAlignment="1">
      <alignment horizontal="center" vertical="top"/>
    </xf>
    <xf numFmtId="166" fontId="5" fillId="0" borderId="1" xfId="0" applyNumberFormat="1" applyFont="1" applyBorder="1" applyAlignment="1">
      <alignment horizontal="center" vertical="top"/>
    </xf>
    <xf numFmtId="0" fontId="6" fillId="2" borderId="0" xfId="0" applyFont="1" applyFill="1" applyAlignment="1">
      <alignment horizontal="left" vertical="center" shrinkToFit="1"/>
    </xf>
    <xf numFmtId="2" fontId="6" fillId="2" borderId="0" xfId="0" applyNumberFormat="1" applyFont="1" applyFill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5" fillId="0" borderId="1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7" fontId="6" fillId="2" borderId="0" xfId="0" applyNumberFormat="1" applyFont="1" applyFill="1" applyAlignment="1">
      <alignment horizontal="left" shrinkToFit="1"/>
    </xf>
    <xf numFmtId="0" fontId="0" fillId="0" borderId="0" xfId="0" applyAlignment="1">
      <alignment horizontal="left"/>
    </xf>
    <xf numFmtId="0" fontId="0" fillId="0" borderId="3" xfId="0" applyBorder="1"/>
    <xf numFmtId="168" fontId="5" fillId="0" borderId="0" xfId="0" applyNumberFormat="1" applyFont="1" applyAlignment="1">
      <alignment horizontal="center" vertical="center"/>
    </xf>
    <xf numFmtId="168" fontId="5" fillId="0" borderId="3" xfId="0" applyNumberFormat="1" applyFont="1" applyBorder="1" applyAlignment="1">
      <alignment horizontal="center" vertical="center"/>
    </xf>
    <xf numFmtId="168" fontId="6" fillId="2" borderId="5" xfId="0" applyNumberFormat="1" applyFont="1" applyFill="1" applyBorder="1" applyAlignment="1">
      <alignment horizontal="center" vertical="center" shrinkToFit="1"/>
    </xf>
    <xf numFmtId="168" fontId="3" fillId="0" borderId="0" xfId="0" applyNumberFormat="1" applyFont="1" applyAlignment="1">
      <alignment horizontal="center" vertical="center"/>
    </xf>
    <xf numFmtId="168" fontId="4" fillId="0" borderId="0" xfId="0" applyNumberFormat="1" applyFont="1" applyAlignment="1">
      <alignment horizontal="center" vertical="center"/>
    </xf>
    <xf numFmtId="168" fontId="5" fillId="0" borderId="1" xfId="0" applyNumberFormat="1" applyFon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0" fontId="3" fillId="0" borderId="0" xfId="0" applyNumberFormat="1" applyFont="1"/>
    <xf numFmtId="10" fontId="4" fillId="0" borderId="0" xfId="0" applyNumberFormat="1" applyFont="1"/>
    <xf numFmtId="10" fontId="5" fillId="0" borderId="0" xfId="0" applyNumberFormat="1" applyFont="1" applyAlignment="1">
      <alignment vertical="top"/>
    </xf>
    <xf numFmtId="10" fontId="5" fillId="0" borderId="1" xfId="0" applyNumberFormat="1" applyFont="1" applyBorder="1" applyAlignment="1">
      <alignment vertical="top"/>
    </xf>
    <xf numFmtId="10" fontId="5" fillId="0" borderId="0" xfId="0" applyNumberFormat="1" applyFont="1" applyAlignment="1">
      <alignment horizontal="left" vertical="center"/>
    </xf>
    <xf numFmtId="10" fontId="5" fillId="0" borderId="3" xfId="0" applyNumberFormat="1" applyFont="1" applyBorder="1" applyAlignment="1">
      <alignment horizontal="left" vertical="center"/>
    </xf>
    <xf numFmtId="10" fontId="5" fillId="0" borderId="0" xfId="0" applyNumberFormat="1" applyFont="1" applyAlignment="1">
      <alignment horizontal="center" vertical="center"/>
    </xf>
    <xf numFmtId="10" fontId="6" fillId="2" borderId="5" xfId="1" applyNumberFormat="1" applyFont="1" applyFill="1" applyBorder="1" applyAlignment="1" applyProtection="1">
      <alignment horizontal="center" vertical="center" shrinkToFit="1"/>
    </xf>
    <xf numFmtId="10" fontId="0" fillId="0" borderId="0" xfId="0" applyNumberFormat="1"/>
    <xf numFmtId="10" fontId="5" fillId="0" borderId="0" xfId="0" applyNumberFormat="1" applyFont="1" applyAlignment="1">
      <alignment horizontal="left" vertical="top"/>
    </xf>
    <xf numFmtId="168" fontId="5" fillId="0" borderId="7" xfId="2" applyNumberFormat="1" applyFont="1" applyBorder="1" applyAlignment="1" applyProtection="1">
      <alignment horizontal="left"/>
    </xf>
    <xf numFmtId="168" fontId="6" fillId="0" borderId="7" xfId="2" applyNumberFormat="1" applyFont="1" applyBorder="1" applyAlignment="1" applyProtection="1">
      <alignment horizontal="center"/>
    </xf>
    <xf numFmtId="168" fontId="7" fillId="0" borderId="8" xfId="2" applyNumberFormat="1" applyFont="1" applyBorder="1" applyAlignment="1" applyProtection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10" fontId="9" fillId="0" borderId="0" xfId="0" applyNumberFormat="1" applyFont="1"/>
    <xf numFmtId="0" fontId="9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5" fillId="0" borderId="3" xfId="0" applyFont="1" applyBorder="1" applyAlignment="1">
      <alignment vertical="center"/>
    </xf>
    <xf numFmtId="0" fontId="6" fillId="2" borderId="0" xfId="0" applyFont="1" applyFill="1" applyAlignment="1">
      <alignment vertical="center" wrapText="1"/>
    </xf>
    <xf numFmtId="168" fontId="9" fillId="0" borderId="0" xfId="0" applyNumberFormat="1" applyFont="1" applyAlignment="1">
      <alignment horizontal="right"/>
    </xf>
    <xf numFmtId="9" fontId="0" fillId="0" borderId="0" xfId="0" applyNumberFormat="1" applyAlignment="1">
      <alignment horizontal="left" vertical="center"/>
    </xf>
    <xf numFmtId="0" fontId="11" fillId="3" borderId="9" xfId="0" applyFont="1" applyFill="1" applyBorder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169" fontId="0" fillId="0" borderId="0" xfId="0" applyNumberFormat="1"/>
    <xf numFmtId="168" fontId="0" fillId="0" borderId="0" xfId="0" applyNumberFormat="1"/>
    <xf numFmtId="0" fontId="0" fillId="4" borderId="0" xfId="0" applyFill="1"/>
    <xf numFmtId="168" fontId="0" fillId="4" borderId="0" xfId="0" applyNumberFormat="1" applyFill="1"/>
    <xf numFmtId="0" fontId="0" fillId="5" borderId="0" xfId="0" applyFill="1"/>
    <xf numFmtId="168" fontId="0" fillId="5" borderId="0" xfId="0" applyNumberFormat="1" applyFill="1"/>
    <xf numFmtId="10" fontId="0" fillId="5" borderId="0" xfId="0" applyNumberFormat="1" applyFill="1"/>
    <xf numFmtId="0" fontId="5" fillId="0" borderId="11" xfId="0" applyFont="1" applyBorder="1" applyAlignment="1">
      <alignment vertical="center"/>
    </xf>
    <xf numFmtId="0" fontId="5" fillId="0" borderId="3" xfId="0" applyFont="1" applyBorder="1" applyAlignment="1">
      <alignment horizontal="center" wrapText="1"/>
    </xf>
    <xf numFmtId="0" fontId="5" fillId="0" borderId="12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4" fontId="0" fillId="0" borderId="0" xfId="0" applyNumberFormat="1"/>
    <xf numFmtId="170" fontId="0" fillId="0" borderId="0" xfId="0" applyNumberFormat="1"/>
    <xf numFmtId="0" fontId="15" fillId="0" borderId="0" xfId="0" applyFont="1"/>
    <xf numFmtId="10" fontId="12" fillId="0" borderId="0" xfId="0" applyNumberFormat="1" applyFont="1"/>
    <xf numFmtId="1" fontId="16" fillId="0" borderId="0" xfId="0" applyNumberFormat="1" applyFont="1"/>
    <xf numFmtId="0" fontId="19" fillId="0" borderId="0" xfId="4" applyFont="1" applyAlignment="1">
      <alignment horizontal="left" vertical="top" wrapText="1"/>
    </xf>
    <xf numFmtId="0" fontId="20" fillId="0" borderId="0" xfId="4" applyFont="1" applyAlignment="1">
      <alignment horizontal="left" wrapText="1"/>
    </xf>
    <xf numFmtId="1" fontId="18" fillId="0" borderId="14" xfId="4" applyNumberFormat="1" applyFont="1" applyBorder="1" applyAlignment="1">
      <alignment horizontal="center" vertical="top" shrinkToFit="1"/>
    </xf>
    <xf numFmtId="0" fontId="20" fillId="0" borderId="0" xfId="4" applyFont="1" applyAlignment="1">
      <alignment horizontal="left" vertical="top" wrapText="1"/>
    </xf>
    <xf numFmtId="1" fontId="18" fillId="0" borderId="14" xfId="4" applyNumberFormat="1" applyFont="1" applyBorder="1" applyAlignment="1">
      <alignment horizontal="center" vertical="center" shrinkToFit="1"/>
    </xf>
    <xf numFmtId="0" fontId="16" fillId="0" borderId="0" xfId="0" applyFont="1"/>
    <xf numFmtId="0" fontId="21" fillId="0" borderId="13" xfId="0" applyFont="1" applyBorder="1" applyAlignment="1">
      <alignment horizontal="center" vertical="center"/>
    </xf>
    <xf numFmtId="171" fontId="4" fillId="0" borderId="0" xfId="0" applyNumberFormat="1" applyFont="1" applyAlignment="1">
      <alignment horizontal="center"/>
    </xf>
    <xf numFmtId="0" fontId="5" fillId="0" borderId="15" xfId="0" applyFont="1" applyBorder="1" applyAlignment="1">
      <alignment vertical="center"/>
    </xf>
    <xf numFmtId="0" fontId="5" fillId="0" borderId="15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wrapText="1"/>
    </xf>
    <xf numFmtId="168" fontId="5" fillId="0" borderId="0" xfId="2" applyNumberFormat="1" applyFont="1" applyBorder="1" applyAlignment="1" applyProtection="1">
      <alignment horizontal="left"/>
    </xf>
    <xf numFmtId="168" fontId="6" fillId="0" borderId="0" xfId="2" applyNumberFormat="1" applyFont="1" applyBorder="1" applyAlignment="1" applyProtection="1">
      <alignment horizontal="center"/>
    </xf>
    <xf numFmtId="168" fontId="7" fillId="0" borderId="0" xfId="2" applyNumberFormat="1" applyFont="1" applyBorder="1" applyAlignment="1" applyProtection="1">
      <alignment horizont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right" vertical="center"/>
    </xf>
    <xf numFmtId="0" fontId="9" fillId="0" borderId="0" xfId="0" applyFont="1" applyAlignment="1">
      <alignment horizontal="right"/>
    </xf>
    <xf numFmtId="0" fontId="22" fillId="0" borderId="0" xfId="4" applyFont="1" applyAlignment="1">
      <alignment horizontal="left" vertical="center" wrapText="1"/>
    </xf>
    <xf numFmtId="10" fontId="9" fillId="0" borderId="0" xfId="0" applyNumberFormat="1" applyFont="1" applyAlignment="1">
      <alignment vertical="center"/>
    </xf>
    <xf numFmtId="0" fontId="9" fillId="0" borderId="0" xfId="0" applyFont="1" applyAlignment="1">
      <alignment horizontal="center" vertical="center"/>
    </xf>
    <xf numFmtId="10" fontId="9" fillId="0" borderId="0" xfId="0" applyNumberFormat="1" applyFont="1" applyAlignment="1">
      <alignment horizontal="left" vertical="center" shrinkToFit="1"/>
    </xf>
    <xf numFmtId="168" fontId="22" fillId="0" borderId="0" xfId="0" applyNumberFormat="1" applyFont="1" applyAlignment="1">
      <alignment horizontal="right" vertical="center" shrinkToFit="1"/>
    </xf>
    <xf numFmtId="9" fontId="20" fillId="0" borderId="0" xfId="4" applyNumberFormat="1" applyFont="1" applyAlignment="1">
      <alignment horizontal="center" wrapText="1"/>
    </xf>
    <xf numFmtId="10" fontId="18" fillId="0" borderId="0" xfId="4" applyNumberFormat="1" applyFont="1" applyAlignment="1">
      <alignment horizontal="right" vertical="center" shrinkToFit="1"/>
    </xf>
    <xf numFmtId="168" fontId="9" fillId="0" borderId="0" xfId="0" applyNumberFormat="1" applyFont="1" applyAlignment="1">
      <alignment vertical="center"/>
    </xf>
    <xf numFmtId="0" fontId="20" fillId="0" borderId="0" xfId="4" applyFont="1" applyAlignment="1">
      <alignment horizontal="center" wrapText="1"/>
    </xf>
    <xf numFmtId="0" fontId="9" fillId="0" borderId="0" xfId="0" applyFont="1" applyAlignment="1">
      <alignment horizontal="left" vertical="center"/>
    </xf>
    <xf numFmtId="0" fontId="19" fillId="0" borderId="0" xfId="4" applyFont="1" applyAlignment="1">
      <alignment vertical="top" wrapText="1"/>
    </xf>
    <xf numFmtId="10" fontId="22" fillId="0" borderId="0" xfId="4" applyNumberFormat="1" applyFont="1" applyAlignment="1">
      <alignment horizontal="center" wrapText="1"/>
    </xf>
    <xf numFmtId="0" fontId="10" fillId="0" borderId="0" xfId="0" applyFont="1" applyAlignment="1">
      <alignment horizontal="center" vertical="center"/>
    </xf>
    <xf numFmtId="0" fontId="19" fillId="0" borderId="0" xfId="4" applyFont="1" applyAlignment="1">
      <alignment horizontal="left" vertical="center" wrapText="1"/>
    </xf>
    <xf numFmtId="0" fontId="18" fillId="0" borderId="0" xfId="4" applyFont="1" applyAlignment="1">
      <alignment horizontal="center" vertical="center" shrinkToFit="1"/>
    </xf>
    <xf numFmtId="0" fontId="18" fillId="0" borderId="0" xfId="4" applyFont="1" applyAlignment="1">
      <alignment horizontal="center" vertical="top" shrinkToFit="1"/>
    </xf>
    <xf numFmtId="0" fontId="9" fillId="0" borderId="0" xfId="3" applyNumberFormat="1" applyFont="1" applyAlignment="1">
      <alignment horizontal="center"/>
    </xf>
    <xf numFmtId="14" fontId="9" fillId="0" borderId="0" xfId="0" applyNumberFormat="1" applyFont="1" applyAlignment="1">
      <alignment horizontal="center" vertical="center"/>
    </xf>
    <xf numFmtId="10" fontId="19" fillId="0" borderId="0" xfId="4" applyNumberFormat="1" applyFont="1" applyAlignment="1">
      <alignment horizontal="right" vertical="center" shrinkToFit="1"/>
    </xf>
    <xf numFmtId="10" fontId="19" fillId="0" borderId="0" xfId="4" applyNumberFormat="1" applyFont="1" applyAlignment="1">
      <alignment horizontal="right" vertical="top" shrinkToFit="1"/>
    </xf>
    <xf numFmtId="10" fontId="2" fillId="0" borderId="0" xfId="3" applyNumberFormat="1" applyFont="1"/>
    <xf numFmtId="10" fontId="2" fillId="0" borderId="0" xfId="0" applyNumberFormat="1" applyFont="1"/>
    <xf numFmtId="0" fontId="0" fillId="0" borderId="16" xfId="0" applyBorder="1"/>
    <xf numFmtId="168" fontId="0" fillId="0" borderId="16" xfId="0" applyNumberFormat="1" applyBorder="1"/>
    <xf numFmtId="0" fontId="0" fillId="6" borderId="16" xfId="0" applyFill="1" applyBorder="1"/>
    <xf numFmtId="0" fontId="5" fillId="0" borderId="6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wrapText="1"/>
    </xf>
    <xf numFmtId="0" fontId="5" fillId="0" borderId="8" xfId="0" applyFont="1" applyBorder="1" applyAlignment="1">
      <alignment horizontal="center" vertical="center"/>
    </xf>
    <xf numFmtId="168" fontId="9" fillId="0" borderId="12" xfId="0" applyNumberFormat="1" applyFont="1" applyBorder="1"/>
    <xf numFmtId="0" fontId="25" fillId="0" borderId="0" xfId="4" applyFont="1" applyAlignment="1">
      <alignment horizontal="left" wrapText="1"/>
    </xf>
    <xf numFmtId="0" fontId="25" fillId="0" borderId="0" xfId="4" applyFont="1" applyAlignment="1">
      <alignment horizontal="left" vertical="top" wrapText="1"/>
    </xf>
    <xf numFmtId="10" fontId="24" fillId="0" borderId="0" xfId="0" applyNumberFormat="1" applyFont="1"/>
    <xf numFmtId="1" fontId="16" fillId="0" borderId="0" xfId="0" applyNumberFormat="1" applyFont="1" applyAlignment="1">
      <alignment horizontal="right"/>
    </xf>
    <xf numFmtId="171" fontId="16" fillId="0" borderId="0" xfId="0" applyNumberFormat="1" applyFont="1" applyAlignment="1">
      <alignment horizontal="right"/>
    </xf>
    <xf numFmtId="9" fontId="25" fillId="0" borderId="0" xfId="4" applyNumberFormat="1" applyFont="1" applyAlignment="1">
      <alignment vertical="center" wrapText="1"/>
    </xf>
    <xf numFmtId="0" fontId="25" fillId="0" borderId="0" xfId="4" applyFont="1" applyAlignment="1">
      <alignment vertical="center" wrapText="1"/>
    </xf>
    <xf numFmtId="0" fontId="27" fillId="0" borderId="0" xfId="0" applyFont="1"/>
    <xf numFmtId="169" fontId="9" fillId="0" borderId="0" xfId="0" applyNumberFormat="1" applyFont="1" applyAlignment="1">
      <alignment vertical="center"/>
    </xf>
    <xf numFmtId="169" fontId="9" fillId="0" borderId="0" xfId="0" applyNumberFormat="1" applyFont="1"/>
    <xf numFmtId="169" fontId="9" fillId="0" borderId="0" xfId="0" applyNumberFormat="1" applyFont="1" applyAlignment="1">
      <alignment horizontal="right"/>
    </xf>
    <xf numFmtId="169" fontId="7" fillId="0" borderId="8" xfId="2" applyNumberFormat="1" applyFont="1" applyBorder="1" applyAlignment="1" applyProtection="1">
      <alignment horizontal="center"/>
    </xf>
    <xf numFmtId="169" fontId="9" fillId="0" borderId="16" xfId="0" applyNumberFormat="1" applyFont="1" applyBorder="1" applyAlignment="1">
      <alignment vertical="center"/>
    </xf>
    <xf numFmtId="169" fontId="9" fillId="0" borderId="0" xfId="0" applyNumberFormat="1" applyFont="1" applyAlignment="1">
      <alignment horizontal="right" vertical="center"/>
    </xf>
    <xf numFmtId="169" fontId="22" fillId="0" borderId="0" xfId="0" applyNumberFormat="1" applyFont="1" applyAlignment="1">
      <alignment horizontal="right" vertical="center" shrinkToFit="1"/>
    </xf>
    <xf numFmtId="169" fontId="5" fillId="0" borderId="7" xfId="2" applyNumberFormat="1" applyFont="1" applyBorder="1" applyAlignment="1" applyProtection="1">
      <alignment horizontal="left"/>
    </xf>
    <xf numFmtId="169" fontId="6" fillId="0" borderId="7" xfId="2" applyNumberFormat="1" applyFont="1" applyBorder="1" applyAlignment="1" applyProtection="1">
      <alignment horizontal="center"/>
    </xf>
    <xf numFmtId="169" fontId="7" fillId="0" borderId="8" xfId="9" applyNumberFormat="1" applyFont="1" applyBorder="1" applyAlignment="1" applyProtection="1">
      <alignment horizontal="center"/>
    </xf>
    <xf numFmtId="10" fontId="19" fillId="0" borderId="0" xfId="4" applyNumberFormat="1" applyFont="1" applyAlignment="1">
      <alignment vertical="center" shrinkToFit="1"/>
    </xf>
    <xf numFmtId="169" fontId="5" fillId="0" borderId="7" xfId="9" applyNumberFormat="1" applyFont="1" applyBorder="1" applyAlignment="1" applyProtection="1">
      <alignment horizontal="left"/>
    </xf>
    <xf numFmtId="10" fontId="0" fillId="0" borderId="16" xfId="0" applyNumberFormat="1" applyBorder="1"/>
    <xf numFmtId="0" fontId="6" fillId="0" borderId="3" xfId="0" applyFont="1" applyBorder="1" applyAlignment="1">
      <alignment horizontal="center" vertical="center"/>
    </xf>
    <xf numFmtId="0" fontId="9" fillId="0" borderId="0" xfId="0" applyFont="1" applyAlignment="1">
      <alignment wrapText="1"/>
    </xf>
    <xf numFmtId="0" fontId="9" fillId="0" borderId="0" xfId="0" applyFont="1" applyAlignment="1">
      <alignment horizontal="left" vertical="center" shrinkToFit="1"/>
    </xf>
    <xf numFmtId="167" fontId="9" fillId="0" borderId="0" xfId="0" applyNumberFormat="1" applyFont="1" applyAlignment="1">
      <alignment horizontal="left" shrinkToFit="1"/>
    </xf>
    <xf numFmtId="0" fontId="9" fillId="0" borderId="3" xfId="0" applyFont="1" applyBorder="1"/>
    <xf numFmtId="10" fontId="9" fillId="0" borderId="3" xfId="0" applyNumberFormat="1" applyFont="1" applyBorder="1"/>
    <xf numFmtId="168" fontId="9" fillId="0" borderId="3" xfId="0" applyNumberFormat="1" applyFont="1" applyBorder="1" applyAlignment="1">
      <alignment horizontal="right"/>
    </xf>
    <xf numFmtId="1" fontId="9" fillId="0" borderId="0" xfId="0" applyNumberFormat="1" applyFont="1" applyAlignment="1">
      <alignment horizontal="left" vertical="center"/>
    </xf>
    <xf numFmtId="0" fontId="6" fillId="0" borderId="7" xfId="0" applyFont="1" applyBorder="1" applyAlignment="1">
      <alignment horizontal="center" vertical="center"/>
    </xf>
    <xf numFmtId="10" fontId="6" fillId="2" borderId="5" xfId="0" applyNumberFormat="1" applyFont="1" applyFill="1" applyBorder="1" applyAlignment="1">
      <alignment horizontal="center" vertical="center" shrinkToFit="1"/>
    </xf>
    <xf numFmtId="0" fontId="9" fillId="0" borderId="0" xfId="0" applyFont="1" applyAlignment="1">
      <alignment vertical="center" wrapText="1"/>
    </xf>
    <xf numFmtId="169" fontId="6" fillId="0" borderId="7" xfId="9" applyNumberFormat="1" applyFont="1" applyBorder="1" applyAlignment="1" applyProtection="1">
      <alignment horizontal="center"/>
    </xf>
    <xf numFmtId="0" fontId="8" fillId="0" borderId="0" xfId="0" applyFont="1" applyAlignment="1"/>
    <xf numFmtId="9" fontId="28" fillId="0" borderId="0" xfId="4" applyNumberFormat="1" applyFont="1" applyAlignment="1">
      <alignment horizontal="center" wrapText="1"/>
    </xf>
    <xf numFmtId="0" fontId="28" fillId="0" borderId="0" xfId="4" applyFont="1" applyAlignment="1">
      <alignment horizontal="center" wrapText="1"/>
    </xf>
    <xf numFmtId="0" fontId="28" fillId="0" borderId="0" xfId="4" applyFont="1" applyAlignment="1">
      <alignment horizontal="left" wrapText="1"/>
    </xf>
    <xf numFmtId="0" fontId="28" fillId="0" borderId="0" xfId="4" applyFont="1" applyAlignment="1">
      <alignment horizontal="left" vertical="top" wrapText="1"/>
    </xf>
    <xf numFmtId="0" fontId="3" fillId="0" borderId="0" xfId="0" applyFont="1"/>
    <xf numFmtId="0" fontId="5" fillId="0" borderId="0" xfId="0" applyFont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168" fontId="5" fillId="0" borderId="0" xfId="0" applyNumberFormat="1" applyFont="1" applyAlignment="1">
      <alignment horizontal="center" vertical="center"/>
    </xf>
    <xf numFmtId="168" fontId="26" fillId="0" borderId="0" xfId="0" applyNumberFormat="1" applyFont="1" applyBorder="1" applyAlignment="1">
      <alignment vertical="center"/>
    </xf>
    <xf numFmtId="0" fontId="0" fillId="0" borderId="0" xfId="0" applyAlignment="1"/>
    <xf numFmtId="0" fontId="0" fillId="5" borderId="0" xfId="0" applyFill="1" applyAlignment="1"/>
    <xf numFmtId="169" fontId="5" fillId="0" borderId="7" xfId="2" applyNumberFormat="1" applyFont="1" applyBorder="1" applyAlignment="1" applyProtection="1">
      <alignment horizontal="center"/>
    </xf>
    <xf numFmtId="169" fontId="5" fillId="0" borderId="6" xfId="2" applyNumberFormat="1" applyFont="1" applyBorder="1" applyAlignment="1" applyProtection="1">
      <alignment horizontal="left" vertical="center"/>
    </xf>
    <xf numFmtId="169" fontId="5" fillId="0" borderId="7" xfId="2" applyNumberFormat="1" applyFont="1" applyBorder="1" applyAlignment="1" applyProtection="1">
      <alignment horizontal="left" vertical="center"/>
    </xf>
    <xf numFmtId="0" fontId="3" fillId="0" borderId="0" xfId="0" applyFont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9" fontId="5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5" fillId="0" borderId="2" xfId="0" applyFont="1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10" fillId="0" borderId="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168" fontId="5" fillId="0" borderId="6" xfId="2" applyNumberFormat="1" applyFont="1" applyBorder="1" applyAlignment="1" applyProtection="1">
      <alignment horizontal="left" vertical="center"/>
    </xf>
    <xf numFmtId="168" fontId="5" fillId="0" borderId="7" xfId="2" applyNumberFormat="1" applyFont="1" applyBorder="1" applyAlignment="1" applyProtection="1">
      <alignment horizontal="left" vertical="center"/>
    </xf>
    <xf numFmtId="168" fontId="5" fillId="0" borderId="7" xfId="2" applyNumberFormat="1" applyFont="1" applyBorder="1" applyAlignment="1" applyProtection="1">
      <alignment horizontal="center"/>
    </xf>
    <xf numFmtId="0" fontId="14" fillId="0" borderId="5" xfId="0" applyFont="1" applyBorder="1" applyAlignment="1">
      <alignment horizontal="center" vertical="center"/>
    </xf>
    <xf numFmtId="169" fontId="5" fillId="0" borderId="6" xfId="9" applyNumberFormat="1" applyFont="1" applyBorder="1" applyAlignment="1" applyProtection="1">
      <alignment horizontal="left" vertical="center"/>
    </xf>
    <xf numFmtId="169" fontId="5" fillId="0" borderId="7" xfId="9" applyNumberFormat="1" applyFont="1" applyBorder="1" applyAlignment="1" applyProtection="1">
      <alignment horizontal="left" vertical="center"/>
    </xf>
    <xf numFmtId="169" fontId="6" fillId="0" borderId="7" xfId="9" applyNumberFormat="1" applyFont="1" applyBorder="1" applyAlignment="1" applyProtection="1">
      <alignment horizontal="center"/>
    </xf>
    <xf numFmtId="168" fontId="26" fillId="0" borderId="3" xfId="0" applyNumberFormat="1" applyFont="1" applyBorder="1" applyAlignment="1">
      <alignment horizontal="center" vertical="center"/>
    </xf>
    <xf numFmtId="0" fontId="0" fillId="6" borderId="16" xfId="0" applyFill="1" applyBorder="1" applyAlignment="1">
      <alignment horizontal="center"/>
    </xf>
    <xf numFmtId="9" fontId="6" fillId="0" borderId="7" xfId="0" applyNumberFormat="1" applyFont="1" applyBorder="1" applyAlignment="1">
      <alignment horizontal="center" vertical="center"/>
    </xf>
    <xf numFmtId="14" fontId="23" fillId="0" borderId="0" xfId="0" applyNumberFormat="1" applyFont="1" applyAlignment="1">
      <alignment horizontal="right"/>
    </xf>
    <xf numFmtId="9" fontId="5" fillId="0" borderId="15" xfId="0" applyNumberFormat="1" applyFont="1" applyBorder="1" applyAlignment="1">
      <alignment horizontal="center" vertical="center"/>
    </xf>
    <xf numFmtId="168" fontId="5" fillId="0" borderId="0" xfId="2" applyNumberFormat="1" applyFont="1" applyBorder="1" applyAlignment="1" applyProtection="1">
      <alignment horizontal="left" vertical="center"/>
    </xf>
    <xf numFmtId="168" fontId="5" fillId="0" borderId="0" xfId="2" applyNumberFormat="1" applyFont="1" applyBorder="1" applyAlignment="1" applyProtection="1">
      <alignment horizontal="center"/>
    </xf>
    <xf numFmtId="9" fontId="6" fillId="0" borderId="3" xfId="0" applyNumberFormat="1" applyFont="1" applyBorder="1" applyAlignment="1">
      <alignment horizontal="center" vertical="center"/>
    </xf>
    <xf numFmtId="169" fontId="6" fillId="0" borderId="7" xfId="2" applyNumberFormat="1" applyFont="1" applyBorder="1" applyAlignment="1" applyProtection="1">
      <alignment horizontal="center"/>
    </xf>
  </cellXfs>
  <cellStyles count="10">
    <cellStyle name="Comma 2" xfId="5" xr:uid="{9EE1C143-7E84-4315-B856-21C586435877}"/>
    <cellStyle name="Comma 3" xfId="7" xr:uid="{6B7F4DA6-4EC4-42E1-B70D-375557D15A06}"/>
    <cellStyle name="Currency 2" xfId="6" xr:uid="{BC7039CB-3553-4220-9B14-ADCEDA8A0DB3}"/>
    <cellStyle name="Currency 3" xfId="8" xr:uid="{89688AE7-B6FF-44A7-9985-1C82AC90CC0C}"/>
    <cellStyle name="Millares" xfId="1" builtinId="3"/>
    <cellStyle name="Moneda" xfId="2" builtinId="4"/>
    <cellStyle name="Moneda 2" xfId="9" xr:uid="{D86B98F4-3102-452C-8CBC-ED8BE5950936}"/>
    <cellStyle name="Normal" xfId="0" builtinId="0"/>
    <cellStyle name="Normal 2" xfId="4" xr:uid="{4C9DC4CF-46B7-4272-A323-CE5E5BA11759}"/>
    <cellStyle name="Porcentaje" xfId="3" builtinId="5"/>
  </cellStyles>
  <dxfs count="10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[$$-2C0A]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[$$-2C0A]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9" formatCode="[$$-2C0A]\ #,##0.00"/>
    </dxf>
    <dxf>
      <numFmt numFmtId="172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 Light"/>
        <family val="2"/>
        <scheme val="major"/>
      </font>
      <numFmt numFmtId="169" formatCode="[$$-2C0A]\ #,##0.00"/>
      <fill>
        <patternFill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 Light"/>
        <family val="2"/>
        <scheme val="major"/>
      </font>
      <numFmt numFmtId="169" formatCode="[$$-2C0A]\ #,##0.00"/>
      <fill>
        <patternFill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ajor"/>
      </font>
      <numFmt numFmtId="14" formatCode="0.00%"/>
      <fill>
        <patternFill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4" formatCode="0.00%"/>
      <fill>
        <patternFill>
          <fgColor indexed="64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7" formatCode="0.0"/>
      <fill>
        <patternFill>
          <fgColor indexed="64"/>
          <bgColor theme="0"/>
        </patternFill>
      </fill>
      <alignment horizontal="left" vertical="bottom" textRotation="0" wrapText="0" indent="0" justifyLastLine="0" shrinkToFit="1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 Light"/>
        <family val="2"/>
        <scheme val="none"/>
      </font>
      <fill>
        <patternFill>
          <fgColor rgb="FF000000"/>
          <bgColor rgb="FFFFFFFF"/>
        </patternFill>
      </fill>
      <alignment horizontal="center" vertical="center" textRotation="0" wrapText="0" indent="0" justifyLastLine="0" shrinkToFit="1" readingOrder="0"/>
      <protection locked="1" hidden="0"/>
    </dxf>
    <dxf>
      <border>
        <bottom style="thin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fill>
        <patternFill patternType="solid">
          <fgColor indexed="64"/>
          <bgColor rgb="FFCCFF99"/>
        </patternFill>
      </fill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 Light"/>
        <family val="2"/>
        <scheme val="maj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 Light"/>
        <family val="2"/>
        <scheme val="maj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 Light"/>
        <family val="2"/>
        <scheme val="maj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  <alignment horizontal="left" vertical="center" textRotation="0" wrapText="0" indent="0" justifyLastLine="0" shrinkToFit="1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7" formatCode="0.0"/>
      <fill>
        <patternFill>
          <fgColor indexed="64"/>
          <bgColor theme="0"/>
        </patternFill>
      </fill>
      <alignment horizontal="left" vertical="bottom" textRotation="0" wrapText="0" indent="0" justifyLastLine="0" shrinkToFit="1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 Light"/>
        <family val="2"/>
        <scheme val="maj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1" readingOrder="0"/>
      <protection locked="1" hidden="0"/>
    </dxf>
    <dxf>
      <border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fill>
        <patternFill patternType="solid">
          <fgColor indexed="64"/>
          <bgColor rgb="FFCCFF99"/>
        </patternFill>
      </fill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 Light"/>
        <family val="2"/>
        <scheme val="major"/>
      </font>
      <numFmt numFmtId="168" formatCode="&quot;£&quot;\ #,##0.00"/>
      <fill>
        <patternFill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 Light"/>
        <family val="2"/>
        <scheme val="major"/>
      </font>
      <numFmt numFmtId="168" formatCode="&quot;£&quot;\ #,##0.00"/>
      <fill>
        <patternFill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ajor"/>
      </font>
      <numFmt numFmtId="14" formatCode="0.00%"/>
      <fill>
        <patternFill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4" formatCode="0.00%"/>
      <fill>
        <patternFill>
          <fgColor indexed="64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7" formatCode="0.0"/>
      <fill>
        <patternFill>
          <fgColor indexed="64"/>
          <bgColor theme="0"/>
        </patternFill>
      </fill>
      <alignment horizontal="left" vertical="bottom" textRotation="0" wrapText="0" indent="0" justifyLastLine="0" shrinkToFit="1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 Light"/>
        <family val="2"/>
        <scheme val="maj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1" readingOrder="0"/>
      <protection locked="1" hidden="0"/>
    </dxf>
    <dxf>
      <border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fill>
        <patternFill patternType="solid">
          <fgColor indexed="64"/>
          <bgColor rgb="FFCCFF99"/>
        </patternFill>
      </fill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 Light"/>
        <family val="2"/>
        <scheme val="major"/>
      </font>
      <numFmt numFmtId="168" formatCode="&quot;£&quot;\ #,##0.00"/>
      <fill>
        <patternFill>
          <fgColor indexed="64"/>
          <bgColor theme="0"/>
        </patternFill>
      </fill>
      <alignment horizontal="right" vertical="center" textRotation="0" wrapText="0" indent="0" justifyLastLine="0" shrinkToFit="1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168" formatCode="&quot;£&quot;\ #,##0.00"/>
      <fill>
        <patternFill>
          <fgColor indexed="64"/>
          <bgColor theme="0"/>
        </patternFill>
      </fill>
      <alignment horizontal="right" vertical="center" textRotation="0" wrapText="0" indent="0" justifyLastLine="0" shrinkToFit="1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 Light"/>
        <family val="2"/>
        <scheme val="major"/>
      </font>
      <numFmt numFmtId="14" formatCode="0.00%"/>
      <fill>
        <patternFill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4" formatCode="0.00%"/>
      <fill>
        <patternFill>
          <fgColor indexed="64"/>
          <bgColor theme="0"/>
        </patternFill>
      </fill>
      <alignment horizontal="left" vertical="center" textRotation="0" wrapText="0" indent="0" justifyLastLine="0" shrinkToFit="1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7" formatCode="0.0"/>
      <fill>
        <patternFill>
          <fgColor indexed="64"/>
          <bgColor theme="0"/>
        </patternFill>
      </fill>
      <alignment horizontal="left" vertical="bottom" textRotation="0" wrapText="0" indent="0" justifyLastLine="0" shrinkToFit="1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 Light"/>
        <family val="2"/>
        <scheme val="none"/>
      </font>
      <fill>
        <patternFill>
          <fgColor rgb="FF000000"/>
          <bgColor rgb="FFFFFFFF"/>
        </patternFill>
      </fill>
      <alignment horizontal="center" vertical="center" textRotation="0" wrapText="0" indent="0" justifyLastLine="0" shrinkToFit="1" readingOrder="0"/>
      <protection locked="1" hidden="0"/>
    </dxf>
    <dxf>
      <border>
        <bottom style="thin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fill>
        <patternFill patternType="solid">
          <fgColor indexed="64"/>
          <bgColor rgb="FFCCFF99"/>
        </patternFill>
      </fill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 Light"/>
        <family val="2"/>
        <scheme val="major"/>
      </font>
      <numFmt numFmtId="169" formatCode="[$$-2C0A]\ #,##0.00"/>
      <fill>
        <patternFill>
          <fgColor indexed="64"/>
          <bgColor theme="0"/>
        </patternFill>
      </fill>
      <alignment horizontal="right" vertical="center" textRotation="0" wrapText="0" indent="0" justifyLastLine="0" shrinkToFit="1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169" formatCode="[$$-2C0A]\ #,##0.00"/>
      <fill>
        <patternFill>
          <fgColor indexed="64"/>
          <bgColor theme="0"/>
        </patternFill>
      </fill>
      <alignment horizontal="right" vertical="center" textRotation="0" wrapText="0" indent="0" justifyLastLine="0" shrinkToFit="1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 Light"/>
        <family val="2"/>
        <scheme val="major"/>
      </font>
      <numFmt numFmtId="14" formatCode="0.00%"/>
      <fill>
        <patternFill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4" formatCode="0.00%"/>
      <fill>
        <patternFill>
          <fgColor indexed="64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7" formatCode="0.0"/>
      <fill>
        <patternFill>
          <fgColor indexed="64"/>
          <bgColor theme="0"/>
        </patternFill>
      </fill>
      <alignment horizontal="left" vertical="bottom" textRotation="0" wrapText="0" indent="0" justifyLastLine="0" shrinkToFit="1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 Light"/>
        <family val="2"/>
        <scheme val="none"/>
      </font>
      <fill>
        <patternFill>
          <fgColor rgb="FF000000"/>
          <bgColor rgb="FFFFFFFF"/>
        </patternFill>
      </fill>
      <alignment horizontal="center" vertical="center" textRotation="0" wrapText="0" indent="0" justifyLastLine="0" shrinkToFit="1" readingOrder="0"/>
      <protection locked="1" hidden="0"/>
    </dxf>
    <dxf>
      <border>
        <bottom style="thin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fill>
        <patternFill patternType="solid">
          <fgColor indexed="64"/>
          <bgColor rgb="FFCCFF99"/>
        </patternFill>
      </fill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 Light"/>
        <family val="2"/>
        <scheme val="major"/>
      </font>
      <numFmt numFmtId="169" formatCode="[$$-2C0A]\ #,##0.00"/>
      <fill>
        <patternFill>
          <fgColor indexed="64"/>
          <bgColor theme="0"/>
        </patternFill>
      </fill>
      <alignment horizontal="right" vertical="center" textRotation="0" wrapText="0" indent="0" justifyLastLine="0" shrinkToFit="1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169" formatCode="[$$-2C0A]\ #,##0.00"/>
      <fill>
        <patternFill>
          <fgColor indexed="64"/>
          <bgColor theme="0"/>
        </patternFill>
      </fill>
      <alignment horizontal="right" vertical="center" textRotation="0" wrapText="0" indent="0" justifyLastLine="0" shrinkToFit="1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4" formatCode="0.00%"/>
      <fill>
        <patternFill>
          <fgColor indexed="64"/>
          <bgColor theme="0"/>
        </patternFill>
      </fill>
      <alignment horizontal="right" vertical="center" textRotation="0" wrapText="0" indent="0" justifyLastLine="0" shrinkToFit="1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14" formatCode="0.00%"/>
      <fill>
        <patternFill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7" formatCode="0.0"/>
      <fill>
        <patternFill>
          <fgColor indexed="64"/>
          <bgColor theme="0"/>
        </patternFill>
      </fill>
      <alignment horizontal="left" vertical="bottom" textRotation="0" wrapText="0" indent="0" justifyLastLine="0" shrinkToFit="1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 Light"/>
        <family val="2"/>
        <scheme val="maj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1" readingOrder="0"/>
      <protection locked="1" hidden="0"/>
    </dxf>
    <dxf>
      <border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 Light"/>
        <family val="2"/>
        <scheme val="major"/>
      </font>
      <fill>
        <patternFill patternType="solid">
          <fgColor indexed="64"/>
          <bgColor rgb="FFCCFF99"/>
        </patternFill>
      </fill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1543050</xdr:colOff>
          <xdr:row>0</xdr:row>
          <xdr:rowOff>19050</xdr:rowOff>
        </xdr:from>
        <xdr:to>
          <xdr:col>2</xdr:col>
          <xdr:colOff>1866900</xdr:colOff>
          <xdr:row>0</xdr:row>
          <xdr:rowOff>266700</xdr:rowOff>
        </xdr:to>
        <xdr:sp macro="" textlink="">
          <xdr:nvSpPr>
            <xdr:cNvPr id="3073" name="Text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620023</xdr:colOff>
      <xdr:row>2</xdr:row>
      <xdr:rowOff>125802</xdr:rowOff>
    </xdr:from>
    <xdr:ext cx="184731" cy="264560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7857476F-F9F7-7FAF-F04F-1FB34BA4482A}"/>
            </a:ext>
          </a:extLst>
        </xdr:cNvPr>
        <xdr:cNvSpPr txBox="1"/>
      </xdr:nvSpPr>
      <xdr:spPr>
        <a:xfrm>
          <a:off x="7673915" y="88061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AR" sz="1100" kern="1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</xdr:row>
          <xdr:rowOff>9525</xdr:rowOff>
        </xdr:from>
        <xdr:to>
          <xdr:col>2</xdr:col>
          <xdr:colOff>1133475</xdr:colOff>
          <xdr:row>2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0</xdr:row>
          <xdr:rowOff>180975</xdr:rowOff>
        </xdr:from>
        <xdr:to>
          <xdr:col>3</xdr:col>
          <xdr:colOff>66675</xdr:colOff>
          <xdr:row>2</xdr:row>
          <xdr:rowOff>114300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9525</xdr:rowOff>
        </xdr:from>
        <xdr:to>
          <xdr:col>1</xdr:col>
          <xdr:colOff>742950</xdr:colOff>
          <xdr:row>2</xdr:row>
          <xdr:rowOff>123825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Nueva cotizacion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620023</xdr:colOff>
      <xdr:row>2</xdr:row>
      <xdr:rowOff>125802</xdr:rowOff>
    </xdr:from>
    <xdr:ext cx="184731" cy="264560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9E82CC89-D8CE-4B56-9AB5-97ED7E0316DB}"/>
            </a:ext>
          </a:extLst>
        </xdr:cNvPr>
        <xdr:cNvSpPr txBox="1"/>
      </xdr:nvSpPr>
      <xdr:spPr>
        <a:xfrm>
          <a:off x="7753350" y="50680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AR" sz="1100" kern="12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620023</xdr:colOff>
      <xdr:row>2</xdr:row>
      <xdr:rowOff>125802</xdr:rowOff>
    </xdr:from>
    <xdr:ext cx="184731" cy="264560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7376FB5-C6A7-40D9-AEFE-400CAC9A1DAC}"/>
            </a:ext>
          </a:extLst>
        </xdr:cNvPr>
        <xdr:cNvSpPr txBox="1"/>
      </xdr:nvSpPr>
      <xdr:spPr>
        <a:xfrm>
          <a:off x="7753350" y="50680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AR" sz="1100" kern="12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161925</xdr:rowOff>
        </xdr:from>
        <xdr:to>
          <xdr:col>10</xdr:col>
          <xdr:colOff>9525</xdr:colOff>
          <xdr:row>3</xdr:row>
          <xdr:rowOff>161925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4</xdr:row>
          <xdr:rowOff>38100</xdr:rowOff>
        </xdr:from>
        <xdr:to>
          <xdr:col>10</xdr:col>
          <xdr:colOff>0</xdr:colOff>
          <xdr:row>6</xdr:row>
          <xdr:rowOff>47625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7</xdr:row>
          <xdr:rowOff>9525</xdr:rowOff>
        </xdr:from>
        <xdr:to>
          <xdr:col>10</xdr:col>
          <xdr:colOff>0</xdr:colOff>
          <xdr:row>9</xdr:row>
          <xdr:rowOff>9525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4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Nota de Credito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742950</xdr:colOff>
          <xdr:row>4</xdr:row>
          <xdr:rowOff>152400</xdr:rowOff>
        </xdr:from>
        <xdr:to>
          <xdr:col>9</xdr:col>
          <xdr:colOff>352425</xdr:colOff>
          <xdr:row>7</xdr:row>
          <xdr:rowOff>114300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5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Remito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</xdr:row>
          <xdr:rowOff>85725</xdr:rowOff>
        </xdr:from>
        <xdr:to>
          <xdr:col>9</xdr:col>
          <xdr:colOff>381000</xdr:colOff>
          <xdr:row>7</xdr:row>
          <xdr:rowOff>114300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6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1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0</xdr:rowOff>
        </xdr:from>
        <xdr:to>
          <xdr:col>3</xdr:col>
          <xdr:colOff>1685925</xdr:colOff>
          <xdr:row>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a Cotizacion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2124075</xdr:colOff>
          <xdr:row>0</xdr:row>
          <xdr:rowOff>0</xdr:rowOff>
        </xdr:from>
        <xdr:to>
          <xdr:col>3</xdr:col>
          <xdr:colOff>3790950</xdr:colOff>
          <xdr:row>0</xdr:row>
          <xdr:rowOff>180975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Nueva Cotizacion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2FAF61D-6C6A-4AA2-B4A5-99E701F9078D}" name="Clientes" displayName="Clientes" ref="A3:K5" totalsRowShown="0" headerRowDxfId="107" dataDxfId="106">
  <autoFilter ref="A3:K5" xr:uid="{72FAF61D-6C6A-4AA2-B4A5-99E701F9078D}">
    <filterColumn colId="1">
      <customFilters>
        <customFilter val="**"/>
      </customFilters>
    </filterColumn>
  </autoFilter>
  <sortState xmlns:xlrd2="http://schemas.microsoft.com/office/spreadsheetml/2017/richdata2" ref="A4:K4">
    <sortCondition ref="A3:A4"/>
  </sortState>
  <tableColumns count="11">
    <tableColumn id="1" xr3:uid="{50C613F0-8AAF-49A7-B9EA-491A0ACCA983}" name="Cliente" dataDxfId="105"/>
    <tableColumn id="2" xr3:uid="{43C3F9E8-E001-47C0-81C3-9910F1B6F626}" name="Señor/es:" dataDxfId="104"/>
    <tableColumn id="3" xr3:uid="{4D28B7C9-E7D4-408B-A052-B46E28B1943B}" name="Domicilio1: " dataDxfId="103"/>
    <tableColumn id="4" xr3:uid="{3A5A199C-3592-4CD2-AB3D-77BCFACAD91C}" name="Domicilio2: " dataDxfId="102"/>
    <tableColumn id="5" xr3:uid="{96B2ECB2-F88D-4A7D-B85B-9E66BC952414}" name="Domicilio3: " dataDxfId="101"/>
    <tableColumn id="6" xr3:uid="{2D734FEC-F4A7-47E4-8EB7-2B8396FDAF55}" name="IVA" dataDxfId="100"/>
    <tableColumn id="7" xr3:uid="{9F41F54D-09BB-4B2A-B837-627833B7ED49}" name="CUIT" dataDxfId="99"/>
    <tableColumn id="8" xr3:uid="{5C56F670-E115-4B5F-ACB7-FA7F0AE8D5FE}" name="Condicion de pago" dataDxfId="98"/>
    <tableColumn id="9" xr3:uid="{6B1CA2EA-0E57-4857-B1E6-B7F4CBEDF37D}" name="MAIL" dataDxfId="97"/>
    <tableColumn id="10" xr3:uid="{F3862342-06DE-43EA-A3EF-29B37EB6BDBA}" name="Whatsapp" dataDxfId="96"/>
    <tableColumn id="11" xr3:uid="{F7B0FC77-219D-40F2-AE99-9179BD0B0C8A}" name="Contactado" dataDxfId="95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3A9AE5-2CF9-4D64-A6F2-DBFBF6CD5719}" name="cotizador" displayName="cotizador" ref="A18:G51" totalsRowShown="0" headerRowDxfId="94" dataDxfId="92" headerRowBorderDxfId="93" tableBorderDxfId="91" totalsRowBorderDxfId="90">
  <autoFilter ref="A18:G51" xr:uid="{983A9AE5-2CF9-4D64-A6F2-DBFBF6CD5719}"/>
  <tableColumns count="7">
    <tableColumn id="2" xr3:uid="{F0D95BBE-5B51-419B-A2EA-EAEDF79EE053}" name="Cant." dataDxfId="89"/>
    <tableColumn id="3" xr3:uid="{029BF076-F70E-40D6-9C3B-BF9C2F4E8100}" name="Cod." dataDxfId="88"/>
    <tableColumn id="4" xr3:uid="{86F07EF7-A5A1-4D2A-BE7E-CEB6C3977FA5}" name="DESCRIPCION" dataDxfId="87"/>
    <tableColumn id="5" xr3:uid="{79336567-0E84-4E7B-B758-76F40C4F5AC4}" name="Desc." dataDxfId="86" dataCellStyle="Normal 2"/>
    <tableColumn id="1" xr3:uid="{6944C117-8197-41B1-9318-E1003F3A9AE6}" name="IVA %" dataDxfId="85" dataCellStyle="Normal 2"/>
    <tableColumn id="6" xr3:uid="{DED696EC-24F1-453D-A62C-752380BBEC83}" name="Precio Uni" dataDxfId="84"/>
    <tableColumn id="7" xr3:uid="{C17CE482-A8D3-4EEE-B16B-FD157EFE1913}" name="IMPORTE" dataDxfId="83">
      <calculatedColumnFormula>IF(OR(A19="",F19=""),"",A19*F19*(1-D19))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C9F60F9-B04F-4355-9E77-2E13B0F4E13F}" name="cotizador2" displayName="cotizador2" ref="A18:G52" totalsRowShown="0" headerRowDxfId="82" dataDxfId="80" headerRowBorderDxfId="81" tableBorderDxfId="79" totalsRowBorderDxfId="78">
  <autoFilter ref="A18:G52" xr:uid="{4C9F60F9-B04F-4355-9E77-2E13B0F4E13F}"/>
  <tableColumns count="7">
    <tableColumn id="2" xr3:uid="{FA45D6DE-17EC-4375-9D01-BF26C4F1834F}" name="Cant." dataDxfId="77"/>
    <tableColumn id="3" xr3:uid="{A49D5D54-0AFA-4753-8EBA-6AEBBC82E9D4}" name="Cod." dataDxfId="76"/>
    <tableColumn id="4" xr3:uid="{17909FD7-8964-4051-9C45-C20006A26357}" name="DESCRIPCION" dataDxfId="75"/>
    <tableColumn id="5" xr3:uid="{EA68B6AC-021E-4D66-B08D-455AE6E723AF}" name="Desc." dataDxfId="74"/>
    <tableColumn id="1" xr3:uid="{571F2BC4-C819-483C-AA3D-7E180C39E749}" name="IVA %" dataDxfId="73"/>
    <tableColumn id="6" xr3:uid="{0EA4015A-7F22-4E4E-9924-A04F48140CA9}" name="Precio Uni" dataDxfId="72"/>
    <tableColumn id="7" xr3:uid="{D49D6095-7466-470F-9BD6-C0E84DFF1C10}" name="IMPORTE" dataDxfId="71">
      <calculatedColumnFormula>IF(OR(A19="",F19=""),"",A19*F19*(1-D19))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923F748-0432-426C-AAD2-4AA3DC70FFC5}" name="cotizador3" displayName="cotizador3" ref="A18:G52" totalsRowShown="0" headerRowDxfId="70" dataDxfId="68" headerRowBorderDxfId="69" tableBorderDxfId="67" totalsRowBorderDxfId="66">
  <autoFilter ref="A18:G52" xr:uid="{983A9AE5-2CF9-4D64-A6F2-DBFBF6CD5719}"/>
  <tableColumns count="7">
    <tableColumn id="2" xr3:uid="{77D76059-D822-4F81-B5D5-02A2CE96F784}" name="Cant." dataDxfId="65"/>
    <tableColumn id="3" xr3:uid="{D3C14699-374A-4B87-8DD0-5C5F7258DEE7}" name="Cod." dataDxfId="64"/>
    <tableColumn id="4" xr3:uid="{185162AF-C45C-4F9D-BBAB-45F9C4B97115}" name="DESCRIPCION" dataDxfId="63"/>
    <tableColumn id="5" xr3:uid="{97AA2AA1-D939-42A6-B396-BD4C07BF4ECE}" name="Desc." dataDxfId="62"/>
    <tableColumn id="1" xr3:uid="{9A5C9250-0E48-4A00-99FA-98FE40D6D086}" name="IVA %" dataDxfId="61"/>
    <tableColumn id="6" xr3:uid="{9C308EEC-F05B-4B0E-8449-0A65699ECD59}" name="Precio Uni" dataDxfId="60"/>
    <tableColumn id="7" xr3:uid="{BC370555-99CD-4047-8E22-E952564CF366}" name="IMPORTE" dataDxfId="59">
      <calculatedColumnFormula>IF(OR(A19="",F19=""),"",A19*F19*(1-D19))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6EAB97C-7D44-41ED-98A6-D73129FE0E73}" name="cotizador11" displayName="cotizador11" ref="A18:G51" totalsRowShown="0" headerRowDxfId="58" dataDxfId="56" headerRowBorderDxfId="57" tableBorderDxfId="55" totalsRowBorderDxfId="54">
  <autoFilter ref="A18:G51" xr:uid="{E6EAB97C-7D44-41ED-98A6-D73129FE0E73}"/>
  <tableColumns count="7">
    <tableColumn id="2" xr3:uid="{5CD3240C-F57E-4B77-9CDD-086EDD527B6D}" name="Cant." dataDxfId="53"/>
    <tableColumn id="3" xr3:uid="{EB4A47EC-EBBA-4297-991B-D0787B4AB1A9}" name="Cod." dataDxfId="52"/>
    <tableColumn id="4" xr3:uid="{92AB2574-03D1-4AD2-BB19-F6B99B316930}" name="DESCRIPCION" dataDxfId="51"/>
    <tableColumn id="5" xr3:uid="{A5D2D233-42CB-44E5-9C07-17C422AB037D}" name="-" dataDxfId="50"/>
    <tableColumn id="1" xr3:uid="{85689BFA-D0C7-458F-9EB9-2B65324A8126}" name="IVA %" dataDxfId="49"/>
    <tableColumn id="6" xr3:uid="{D323FA4A-66AF-45CF-837E-33405B87D939}" name="Precio Uni" dataDxfId="48"/>
    <tableColumn id="7" xr3:uid="{7CCFE7A7-F575-48E8-A7C1-80C8C9CB2A72}" name="IMPORTE" dataDxfId="47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F861BDD-6A27-4953-90B1-885C4E30732C}" name="cotizador12" displayName="cotizador12" ref="A18:G52" totalsRowShown="0" headerRowDxfId="46" dataDxfId="44" headerRowBorderDxfId="45" tableBorderDxfId="43" totalsRowBorderDxfId="42">
  <autoFilter ref="A18:G52" xr:uid="{1F861BDD-6A27-4953-90B1-885C4E30732C}"/>
  <tableColumns count="7">
    <tableColumn id="2" xr3:uid="{42904775-4949-4401-B61B-0DBE0755874D}" name="Cant." dataDxfId="41"/>
    <tableColumn id="3" xr3:uid="{C83B0B09-F9A0-4008-99E8-471E1F5B303F}" name="Cod." dataDxfId="40"/>
    <tableColumn id="4" xr3:uid="{7F9B1AB4-D942-453B-8BF2-C9FF13B42918}" name="DESCRIPCION" dataDxfId="39"/>
    <tableColumn id="5" xr3:uid="{9C022EF3-ABE3-419D-9166-CE7E991A2514}" name="-" dataDxfId="38"/>
    <tableColumn id="1" xr3:uid="{87E30F50-AB5C-4246-946D-B5F598250605}" name="Se entrega" dataDxfId="37"/>
    <tableColumn id="6" xr3:uid="{B0EFC56B-9B8E-4F3B-BE9A-3FFBFCC861F4}" name="Faltante" dataDxfId="36"/>
    <tableColumn id="7" xr3:uid="{40648F6C-11F4-4344-B56F-A8605618E2DF}" name="Fecha Estimada" dataDxfId="35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8F24B07-6FD2-43DB-9A3C-FF9EFC3E0642}" name="cotizador1113" displayName="cotizador1113" ref="A18:G52" totalsRowShown="0" headerRowDxfId="34" dataDxfId="32" headerRowBorderDxfId="33" tableBorderDxfId="31" totalsRowBorderDxfId="30">
  <autoFilter ref="A18:G52" xr:uid="{E6EAB97C-7D44-41ED-98A6-D73129FE0E73}"/>
  <tableColumns count="7">
    <tableColumn id="2" xr3:uid="{BC62D7AB-7434-4765-AF6C-80D669019CEE}" name="Cant." dataDxfId="29"/>
    <tableColumn id="3" xr3:uid="{3840D4A1-FB0B-4DF7-BB45-8E5DDACDA05D}" name="Cod." dataDxfId="28"/>
    <tableColumn id="4" xr3:uid="{67D1E1C8-CF8F-4562-930D-819F23C2AEAB}" name="DESCRIPCION" dataDxfId="27"/>
    <tableColumn id="5" xr3:uid="{788A55C5-D8FE-4B74-8458-1BFBCC978688}" name="-" dataDxfId="26"/>
    <tableColumn id="1" xr3:uid="{818DC28D-F234-41D6-B86E-E299A5BC6A81}" name="IVA %" dataDxfId="25"/>
    <tableColumn id="6" xr3:uid="{5B0C6056-F236-4E62-8892-964DD3CAE682}" name="Precio Uni" dataDxfId="24"/>
    <tableColumn id="7" xr3:uid="{F63A22F2-9128-4B26-95E1-A1ACF73F758B}" name="IMPORTE" dataDxfId="23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3D7F4B5-4841-4C57-87AD-07934E9E4A60}" name="Tabla15" displayName="Tabla15" ref="A1:E25" totalsRowShown="0">
  <autoFilter ref="A1:E25" xr:uid="{03D7F4B5-4841-4C57-87AD-07934E9E4A60}"/>
  <tableColumns count="5">
    <tableColumn id="1" xr3:uid="{BBD47FD6-B6C1-4B39-A3DD-082BE07CDFC1}" name="N Factura"/>
    <tableColumn id="2" xr3:uid="{3BF12947-C186-42F0-9224-2337BF572603}" name="Fecha" dataDxfId="22"/>
    <tableColumn id="3" xr3:uid="{2ABF31B0-1926-42B0-92FE-CF4F9C66009F}" name="Cliente"/>
    <tableColumn id="4" xr3:uid="{E9E27E41-8DC8-4151-A8A7-7411A46715FC}" name="Cuit"/>
    <tableColumn id="5" xr3:uid="{9D880CAC-E3E6-476D-8583-5F87D01BA87A}" name="Monto" dataDxfId="2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D34C6DD-B986-4E23-A8E2-E87A29BBB0EB}" name="CotizacionDolar" displayName="CotizacionDolar" ref="A1:A2" totalsRowShown="0" headerRowDxfId="20" dataDxfId="19">
  <autoFilter ref="A1:A2" xr:uid="{ED34C6DD-B986-4E23-A8E2-E87A29BBB0EB}"/>
  <tableColumns count="1">
    <tableColumn id="1" xr3:uid="{E3748BCA-8046-4D99-B9EC-C31FE5DF38CB}" name="CotizacionDolar" dataDxfId="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4C1C1DA-BC16-4173-B4BD-8CCBE59EFAEC}" name="Lista_Reposicion" displayName="Lista_Reposicion" ref="A1:N3986" totalsRowShown="0">
  <autoFilter ref="A1:N3986" xr:uid="{94C1C1DA-BC16-4173-B4BD-8CCBE59EFAEC}"/>
  <tableColumns count="14">
    <tableColumn id="12" xr3:uid="{5619F339-053E-402A-8EC9-EE5F576F10E4}" name="Codigo" dataDxfId="17"/>
    <tableColumn id="2" xr3:uid="{153FAD79-02C8-49CC-A876-CF7FB1DDAEC8}" name="Marca" dataDxfId="16"/>
    <tableColumn id="3" xr3:uid="{4A3C654B-3693-498A-8B56-0C20E53814BE}" name="Categoria" dataDxfId="15"/>
    <tableColumn id="4" xr3:uid="{D1F3CC90-6F7D-4705-9F28-169DAC344E1D}" name="Descripcion" dataDxfId="14"/>
    <tableColumn id="5" xr3:uid="{A526FE6E-F5EC-4D38-8DA1-BA9DCDD55FA9}" name="Moneda"/>
    <tableColumn id="6" xr3:uid="{CE5F9E66-88C2-42A9-BC95-BDD98B45D950}" name="Precio de Lista s/IVA"/>
    <tableColumn id="7" xr3:uid="{9B9EF2C8-5243-4BF1-8545-8D93BE8A307F}" name="Precio de Lista ARS s/IVA"/>
    <tableColumn id="8" xr3:uid="{CF8AF669-F0AE-4F25-83FD-0A0F1F1EC142}" name="Descuento"/>
    <tableColumn id="9" xr3:uid="{705A509E-406F-403E-AC13-F18F592333F2}" name="Precio Neto s/IVA"/>
    <tableColumn id="1" xr3:uid="{88C7D5E7-9774-496B-A7CF-986B568F9B20}" name="Ganancia"/>
    <tableColumn id="13" xr3:uid="{7EFAEC94-1DC9-43EF-AA7E-4C537B2BF7E2}" name="Precio Final s/IVA"/>
    <tableColumn id="10" xr3:uid="{4FD0658F-CAEF-4FC8-9DF2-E9822A6591AB}" name="IVA"/>
    <tableColumn id="11" xr3:uid="{2B1C70DB-66B2-4C1C-9914-FC28D8384B4A}" name="Precio Neto c/IVA"/>
    <tableColumn id="14" xr3:uid="{568F9BCF-4931-4979-B57D-3A381B70E088}" name="Precio Final c/IVA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81214E-ECC0-44DB-AF8F-D201408A60B0}" name="Lista_Mayorista" displayName="Lista_Mayorista" ref="A1:N3986" totalsRowShown="0">
  <autoFilter ref="A1:N3986" xr:uid="{9581214E-ECC0-44DB-AF8F-D201408A60B0}"/>
  <tableColumns count="14">
    <tableColumn id="15" xr3:uid="{ED6993D9-7E48-4917-A3E4-A29C5C88417D}" name="Codigo" dataDxfId="13"/>
    <tableColumn id="2" xr3:uid="{35F541AC-C37A-40CE-95BC-BF72B254C6C1}" name="Marca" dataDxfId="12"/>
    <tableColumn id="3" xr3:uid="{46ABEC0B-D414-4A80-AF1D-D6D219DB0720}" name="Categoria" dataDxfId="11"/>
    <tableColumn id="4" xr3:uid="{13ED9FBB-35C8-40F0-9811-CCF360CD1BF0}" name="Descripcion" dataDxfId="10"/>
    <tableColumn id="5" xr3:uid="{6A6B86CB-A24C-47B3-81D5-D9057AA8884C}" name="Moneda"/>
    <tableColumn id="6" xr3:uid="{A8DF52BC-F3DD-402A-B91D-A0CB995A6710}" name="Precio de Lista s/IVA"/>
    <tableColumn id="7" xr3:uid="{1F4E9DF7-6F0B-41FC-AF8B-19880DA226F6}" name="Precio de Lista ARS s/IVA"/>
    <tableColumn id="8" xr3:uid="{E585A364-1D4B-4D42-831F-31682695335C}" name="Descuento"/>
    <tableColumn id="9" xr3:uid="{F2F88768-CD0E-4F4E-9DE5-B347ABD9BD12}" name="Precio Neto s/IVA"/>
    <tableColumn id="10" xr3:uid="{399D43A8-45CA-467B-8984-BCF6461B4FCD}" name="Ganancia"/>
    <tableColumn id="11" xr3:uid="{12B1857C-840E-4F5F-9710-E2F124F25512}" name="Precio Final s/IVA" dataDxfId="9"/>
    <tableColumn id="12" xr3:uid="{280ACFCB-DFC4-4AE2-80B7-3AF4CB367ACC}" name="IVA"/>
    <tableColumn id="13" xr3:uid="{90DC219B-C658-43CF-A7BF-4A9DE7B07A78}" name="Precio Neto c/IVA"/>
    <tableColumn id="14" xr3:uid="{B6318FA0-2006-455A-A037-CF3DCB4CEF10}" name="Precio Final c/IVA" dataDxfId="8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3B82B93-F246-4578-BB0D-A826C2F99553}" name="Lista_Gremio" displayName="Lista_Gremio" ref="A1:N3986" totalsRowShown="0">
  <autoFilter ref="A1:N3986" xr:uid="{83B82B93-F246-4578-BB0D-A826C2F99553}"/>
  <tableColumns count="14">
    <tableColumn id="15" xr3:uid="{7ECAFB0C-4149-44BE-81DD-F5098376B249}" name="Codigo" dataDxfId="7"/>
    <tableColumn id="2" xr3:uid="{1D3F2C64-63F3-431A-91E0-40856C69C850}" name="Marca" dataDxfId="6"/>
    <tableColumn id="3" xr3:uid="{7C157C51-E290-4CF9-B5A0-7B20AB4B30FF}" name="Categoria" dataDxfId="5"/>
    <tableColumn id="4" xr3:uid="{B00219A1-2DEE-4126-B537-D2F02D2EBB5B}" name="Descripcion" dataDxfId="4"/>
    <tableColumn id="5" xr3:uid="{BAE044AA-E9CA-4351-8554-4CFF6744AFC1}" name="Moneda"/>
    <tableColumn id="6" xr3:uid="{076F056B-7629-4A72-8A4F-7C0CE6A25845}" name="Precio de Lista s/IVA"/>
    <tableColumn id="7" xr3:uid="{89ACC1B1-26E1-41F8-A7D1-E151E600E067}" name="Precio de Lista ARS s/IVA"/>
    <tableColumn id="8" xr3:uid="{0CB1B6D2-6999-44C9-831A-D2DC1FBE8795}" name="Descuento"/>
    <tableColumn id="9" xr3:uid="{D472414F-69AD-492C-BE7C-D988E1803938}" name="Precio Neto s/IVA"/>
    <tableColumn id="10" xr3:uid="{94A58DB1-03B7-41BF-86DE-9E6DCABF5BFD}" name="Ganancia"/>
    <tableColumn id="11" xr3:uid="{311FF994-858A-400A-A1D7-607541BB8597}" name="Precio Final s/IVA"/>
    <tableColumn id="12" xr3:uid="{882FFCBD-272A-43FD-B9A1-EBE3E8F9E353}" name="IVA"/>
    <tableColumn id="13" xr3:uid="{A5A9B8B0-E416-4F48-BC0C-C772B1BAD600}" name="Precio Neto c/IVA"/>
    <tableColumn id="14" xr3:uid="{3DF02420-1581-4C8A-8A61-D3F6EDA3D70B}" name="Precio Final c/IVA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C27BF06-2CE5-4FF0-81FC-EA6BFB7DD7A2}" name="Lista_Mostrador" displayName="Lista_Mostrador" ref="A1:N3986" totalsRowShown="0">
  <autoFilter ref="A1:N3986" xr:uid="{7C27BF06-2CE5-4FF0-81FC-EA6BFB7DD7A2}"/>
  <tableColumns count="14">
    <tableColumn id="15" xr3:uid="{F884D4C6-2390-4D82-BBF6-89A4F606E755}" name="Codigo" dataDxfId="3"/>
    <tableColumn id="2" xr3:uid="{674C36B4-B627-43B9-BBA1-43E32344A54F}" name="Marca" dataDxfId="2"/>
    <tableColumn id="3" xr3:uid="{D6E9C7CB-7698-46D3-B632-5942B5682C33}" name="Categoria" dataDxfId="1"/>
    <tableColumn id="4" xr3:uid="{0FFAACF1-49C0-4424-B9D7-0AE8648D556E}" name="Descripcion" dataDxfId="0"/>
    <tableColumn id="5" xr3:uid="{8934D179-505B-43D4-AE2C-5B9BCDE6F57C}" name="Moneda"/>
    <tableColumn id="6" xr3:uid="{4E0AC41E-1C03-43A4-B292-306EE5D4A63E}" name="Precio de Lista s/IVA"/>
    <tableColumn id="7" xr3:uid="{0DBD7C0F-21C9-4790-8ADF-E0DF0F66D634}" name="Precio de Lista ARS s/IVA"/>
    <tableColumn id="8" xr3:uid="{3F17B8FB-FCC8-41B0-9088-3AC20022606A}" name="Descuento"/>
    <tableColumn id="9" xr3:uid="{6C611D05-A38C-4115-B6B1-ED6624285CC4}" name="Precio Neto s/IVA"/>
    <tableColumn id="10" xr3:uid="{36C63F4A-BEE9-4D73-8B1B-3F0F48C44238}" name="Ganancia"/>
    <tableColumn id="11" xr3:uid="{2F44D5A3-6B7C-4385-B4A6-510A06485B0A}" name="Precio Final s/IVA"/>
    <tableColumn id="12" xr3:uid="{43CBB2ED-C143-411B-80B4-61EC27FE4A5A}" name="IVA"/>
    <tableColumn id="13" xr3:uid="{4F5F1CB1-FD88-46F5-9F15-F754E8C93321}" name="Precio Neto c/IVA"/>
    <tableColumn id="14" xr3:uid="{27BB03F9-2965-4266-AAD0-7D2952AE5532}" name="Precio Final c/IVA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9D01F-3B85-4439-B7FA-083BADD2496C}">
  <sheetPr codeName="Hoja1"/>
  <dimension ref="A1:K5"/>
  <sheetViews>
    <sheetView workbookViewId="0">
      <selection activeCell="D133" sqref="D133"/>
    </sheetView>
  </sheetViews>
  <sheetFormatPr baseColWidth="10" defaultColWidth="11.42578125" defaultRowHeight="15"/>
  <cols>
    <col min="1" max="1" width="8.140625" customWidth="1"/>
    <col min="2" max="2" width="32.28515625" customWidth="1"/>
    <col min="3" max="3" width="28.42578125" customWidth="1"/>
    <col min="4" max="4" width="15.85546875" customWidth="1"/>
    <col min="5" max="5" width="12.140625" customWidth="1"/>
    <col min="6" max="6" width="15.5703125" customWidth="1"/>
    <col min="7" max="7" width="12.140625" customWidth="1"/>
    <col min="8" max="8" width="12.28515625" customWidth="1"/>
    <col min="9" max="9" width="34.7109375" customWidth="1"/>
    <col min="10" max="10" width="22.42578125" style="1" customWidth="1"/>
    <col min="11" max="11" width="12.5703125" style="19" customWidth="1"/>
  </cols>
  <sheetData>
    <row r="1" spans="1:11" ht="26.25" customHeight="1" thickBot="1">
      <c r="B1" s="60" t="s">
        <v>36</v>
      </c>
      <c r="C1" s="61"/>
    </row>
    <row r="3" spans="1:11">
      <c r="A3" s="17" t="s">
        <v>21</v>
      </c>
      <c r="B3" s="17" t="s">
        <v>0</v>
      </c>
      <c r="C3" s="17" t="s">
        <v>22</v>
      </c>
      <c r="D3" s="17" t="s">
        <v>23</v>
      </c>
      <c r="E3" s="17" t="s">
        <v>24</v>
      </c>
      <c r="F3" s="17" t="s">
        <v>25</v>
      </c>
      <c r="G3" s="17" t="s">
        <v>26</v>
      </c>
      <c r="H3" s="17" t="s">
        <v>27</v>
      </c>
      <c r="I3" s="17" t="s">
        <v>28</v>
      </c>
      <c r="J3" s="18" t="s">
        <v>29</v>
      </c>
      <c r="K3" s="18" t="s">
        <v>33</v>
      </c>
    </row>
    <row r="4" spans="1:11">
      <c r="A4" s="18">
        <v>1000</v>
      </c>
      <c r="B4" s="17" t="s">
        <v>32</v>
      </c>
      <c r="C4" s="17" t="s">
        <v>8</v>
      </c>
      <c r="D4" s="17" t="s">
        <v>8</v>
      </c>
      <c r="E4" s="17" t="s">
        <v>8</v>
      </c>
      <c r="F4" s="17" t="s">
        <v>30</v>
      </c>
      <c r="G4" s="17" t="s">
        <v>8</v>
      </c>
      <c r="H4" s="18" t="s">
        <v>31</v>
      </c>
      <c r="I4" s="17"/>
      <c r="J4" s="18"/>
      <c r="K4" s="18"/>
    </row>
    <row r="5" spans="1:11" ht="15" customHeight="1">
      <c r="A5" s="18"/>
      <c r="B5" s="160"/>
      <c r="C5" s="160"/>
      <c r="D5" s="160"/>
      <c r="E5" s="160"/>
      <c r="F5" s="17"/>
      <c r="G5" s="160"/>
      <c r="H5" s="18"/>
      <c r="I5" s="160"/>
      <c r="J5" s="18"/>
      <c r="K5" s="18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TextBox1">
          <controlPr defaultSize="0" autoLine="0" autoPict="0" r:id="rId5">
            <anchor moveWithCells="1">
              <from>
                <xdr:col>1</xdr:col>
                <xdr:colOff>1543050</xdr:colOff>
                <xdr:row>0</xdr:row>
                <xdr:rowOff>19050</xdr:rowOff>
              </from>
              <to>
                <xdr:col>2</xdr:col>
                <xdr:colOff>1866900</xdr:colOff>
                <xdr:row>0</xdr:row>
                <xdr:rowOff>266700</xdr:rowOff>
              </to>
            </anchor>
          </controlPr>
        </control>
      </mc:Choice>
      <mc:Fallback>
        <control shapeId="3073" r:id="rId4" name="TextBox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70D67-7C0E-4FEE-BDCE-F40EC38941B9}">
  <sheetPr codeName="Hoja11">
    <pageSetUpPr fitToPage="1"/>
  </sheetPr>
  <dimension ref="A1:G89"/>
  <sheetViews>
    <sheetView zoomScale="115" zoomScaleNormal="115" workbookViewId="0">
      <selection activeCell="F21" sqref="F21"/>
    </sheetView>
  </sheetViews>
  <sheetFormatPr baseColWidth="10" defaultColWidth="0" defaultRowHeight="15" zeroHeight="1"/>
  <cols>
    <col min="1" max="1" width="10" customWidth="1"/>
    <col min="2" max="2" width="14" customWidth="1"/>
    <col min="3" max="3" width="35.28515625" style="29" customWidth="1"/>
    <col min="4" max="4" width="12.28515625" customWidth="1"/>
    <col min="5" max="5" width="12" style="46" customWidth="1"/>
    <col min="6" max="6" width="14.5703125" style="37" customWidth="1"/>
    <col min="7" max="7" width="18.140625" style="19" customWidth="1"/>
    <col min="8" max="16384" width="11.42578125" hidden="1"/>
  </cols>
  <sheetData>
    <row r="1" spans="1:7">
      <c r="A1" s="2"/>
      <c r="B1" s="2"/>
      <c r="C1" s="5"/>
      <c r="D1" s="2"/>
      <c r="E1" s="38"/>
      <c r="F1" s="34"/>
      <c r="G1" s="4"/>
    </row>
    <row r="2" spans="1:7">
      <c r="A2" s="2"/>
      <c r="B2" s="2"/>
      <c r="C2" s="5"/>
      <c r="D2" s="2"/>
      <c r="E2" s="39"/>
      <c r="F2" s="35"/>
      <c r="G2" s="4"/>
    </row>
    <row r="3" spans="1:7">
      <c r="A3" s="2"/>
      <c r="B3" s="2"/>
      <c r="C3" s="5"/>
      <c r="D3" s="2"/>
      <c r="E3" s="38"/>
      <c r="F3" s="35" t="s">
        <v>19</v>
      </c>
      <c r="G3" s="73"/>
    </row>
    <row r="4" spans="1:7">
      <c r="A4" s="2"/>
      <c r="B4" s="2"/>
      <c r="C4" s="5"/>
      <c r="D4" s="2"/>
      <c r="E4" s="38"/>
      <c r="F4" s="35" t="s">
        <v>18</v>
      </c>
      <c r="G4" s="3"/>
    </row>
    <row r="5" spans="1:7">
      <c r="A5" s="2"/>
      <c r="B5" s="2"/>
      <c r="C5" s="5"/>
      <c r="D5" s="2"/>
      <c r="E5" s="38"/>
      <c r="F5" s="35" t="s">
        <v>70</v>
      </c>
      <c r="G5" s="4"/>
    </row>
    <row r="6" spans="1:7">
      <c r="A6" s="2"/>
      <c r="B6" s="2"/>
      <c r="C6" s="5"/>
      <c r="D6" s="4"/>
      <c r="E6" s="38"/>
      <c r="F6" s="175"/>
      <c r="G6" s="175"/>
    </row>
    <row r="7" spans="1:7">
      <c r="A7" s="2"/>
      <c r="B7" s="2"/>
      <c r="C7" s="5"/>
      <c r="D7" s="6"/>
      <c r="E7" s="40" t="s">
        <v>62</v>
      </c>
      <c r="F7" s="31"/>
      <c r="G7" s="8"/>
    </row>
    <row r="8" spans="1:7">
      <c r="A8" s="6" t="s">
        <v>1</v>
      </c>
      <c r="B8" s="8"/>
      <c r="C8" s="25"/>
      <c r="D8" s="9"/>
      <c r="E8" s="40" t="s">
        <v>85</v>
      </c>
      <c r="F8" s="31"/>
      <c r="G8" s="20"/>
    </row>
    <row r="9" spans="1:7">
      <c r="A9" s="6" t="s">
        <v>82</v>
      </c>
      <c r="B9" s="7"/>
      <c r="C9" s="25"/>
      <c r="D9" s="9"/>
      <c r="E9" s="40" t="s">
        <v>86</v>
      </c>
      <c r="F9" s="31"/>
      <c r="G9" s="20"/>
    </row>
    <row r="10" spans="1:7">
      <c r="A10" s="6" t="s">
        <v>83</v>
      </c>
      <c r="B10" s="7"/>
      <c r="C10" s="25"/>
      <c r="D10" s="9"/>
      <c r="E10" s="40" t="s">
        <v>87</v>
      </c>
      <c r="F10" s="31"/>
      <c r="G10" s="20"/>
    </row>
    <row r="11" spans="1:7" ht="15.75" thickBot="1">
      <c r="A11" s="10" t="s">
        <v>84</v>
      </c>
      <c r="B11" s="10"/>
      <c r="C11" s="26"/>
      <c r="D11" s="11"/>
      <c r="E11" s="41" t="s">
        <v>88</v>
      </c>
      <c r="F11" s="36"/>
      <c r="G11" s="21"/>
    </row>
    <row r="12" spans="1:7" ht="15" customHeight="1">
      <c r="A12" s="55" t="s">
        <v>0</v>
      </c>
      <c r="B12" s="181" t="str">
        <f>VLOOKUP(F12,'Clientes'!A3:J5,2,0)</f>
        <v>Consumidor final</v>
      </c>
      <c r="C12" s="182"/>
      <c r="D12" s="12"/>
      <c r="E12" s="42" t="s">
        <v>16</v>
      </c>
      <c r="F12" s="185">
        <v>1000</v>
      </c>
      <c r="G12" s="185"/>
    </row>
    <row r="13" spans="1:7" ht="15" customHeight="1">
      <c r="A13" s="55" t="s">
        <v>1</v>
      </c>
      <c r="B13" s="183" t="str">
        <f>VLOOKUP(F12,'Clientes'!A3:J5,3,0)</f>
        <v>-</v>
      </c>
      <c r="C13" s="184"/>
      <c r="D13" s="12"/>
      <c r="E13" s="42" t="s">
        <v>62</v>
      </c>
      <c r="F13" s="186" t="str">
        <f>VLOOKUP(F12,'Clientes'!A3:J5,7,0)</f>
        <v>-</v>
      </c>
      <c r="G13" s="187"/>
    </row>
    <row r="14" spans="1:7">
      <c r="A14" s="55"/>
      <c r="B14" s="176" t="str">
        <f>VLOOKUP(F12,'Clientes'!A3:J5,4,0)</f>
        <v>-</v>
      </c>
      <c r="C14" s="177"/>
      <c r="D14" s="12"/>
      <c r="E14" s="42" t="s">
        <v>2</v>
      </c>
      <c r="F14" s="31"/>
      <c r="G14" s="59" t="str">
        <f>VLOOKUP(F12,'Clientes'!A3:J5,8,0)</f>
        <v>Contado</v>
      </c>
    </row>
    <row r="15" spans="1:7">
      <c r="A15" s="55"/>
      <c r="B15" s="176" t="str">
        <f>VLOOKUP(F12,'Clientes'!A3:J5,5,0)</f>
        <v>-</v>
      </c>
      <c r="C15" s="177"/>
      <c r="D15" s="12"/>
      <c r="E15" s="42" t="s">
        <v>3</v>
      </c>
      <c r="F15" s="31"/>
      <c r="G15" s="108"/>
    </row>
    <row r="16" spans="1:7">
      <c r="A16" s="56" t="s">
        <v>4</v>
      </c>
      <c r="B16" s="178" t="str">
        <f>VLOOKUP(F12,'Clientes'!A3:J5,6,0)</f>
        <v>CONSUMIDOR FINAL</v>
      </c>
      <c r="C16" s="179"/>
      <c r="D16" s="14"/>
      <c r="E16" s="43"/>
      <c r="F16" s="32"/>
      <c r="G16" s="15"/>
    </row>
    <row r="17" spans="1:7">
      <c r="A17" s="56"/>
      <c r="B17" s="15"/>
      <c r="C17" s="27"/>
      <c r="D17" s="15"/>
      <c r="E17" s="44"/>
      <c r="F17" s="31"/>
      <c r="G17" s="13"/>
    </row>
    <row r="18" spans="1:7">
      <c r="A18" s="57" t="s">
        <v>5</v>
      </c>
      <c r="B18" s="22" t="s">
        <v>6</v>
      </c>
      <c r="C18" s="28" t="s">
        <v>7</v>
      </c>
      <c r="D18" s="23" t="s">
        <v>53</v>
      </c>
      <c r="E18" s="45" t="s">
        <v>9</v>
      </c>
      <c r="F18" s="33" t="s">
        <v>10</v>
      </c>
      <c r="G18" s="24" t="s">
        <v>11</v>
      </c>
    </row>
    <row r="19" spans="1:7" ht="15" customHeight="1">
      <c r="A19" s="83"/>
      <c r="B19" s="155"/>
      <c r="C19" s="93"/>
      <c r="D19" s="107"/>
      <c r="E19" s="114"/>
      <c r="F19" s="135"/>
      <c r="G19" s="140" t="str">
        <f>IF(OR(A19="",F19=""),"",A19*F19*(1-D19))</f>
        <v/>
      </c>
    </row>
    <row r="20" spans="1:7" ht="15" customHeight="1">
      <c r="A20" s="83"/>
      <c r="B20" s="155"/>
      <c r="C20" s="93"/>
      <c r="D20" s="107"/>
      <c r="E20" s="114"/>
      <c r="F20" s="135"/>
      <c r="G20" s="140" t="str">
        <f t="shared" ref="G20:G26" si="0">IF(OR(A20="",F20=""),"",A20*F20*(1-D20))</f>
        <v/>
      </c>
    </row>
    <row r="21" spans="1:7" ht="15" customHeight="1">
      <c r="A21" s="83"/>
      <c r="B21" s="155"/>
      <c r="C21" s="52"/>
      <c r="D21" s="107"/>
      <c r="E21" s="114"/>
      <c r="F21" s="135"/>
      <c r="G21" s="137" t="str">
        <f>IF(OR(A21="",F21=""),"",A21*F21*(1-D21))</f>
        <v/>
      </c>
    </row>
    <row r="22" spans="1:7" ht="15" customHeight="1">
      <c r="A22" s="83"/>
      <c r="B22" s="51"/>
      <c r="C22" s="52"/>
      <c r="D22" s="107"/>
      <c r="E22" s="114"/>
      <c r="F22" s="137"/>
      <c r="G22" s="137" t="str">
        <f>IF(OR(A22="",F22=""),"",A22*F22*(1-D22))</f>
        <v/>
      </c>
    </row>
    <row r="23" spans="1:7" ht="15" customHeight="1">
      <c r="A23" s="98"/>
      <c r="B23" s="51"/>
      <c r="C23" s="52"/>
      <c r="D23" s="107"/>
      <c r="E23" s="114"/>
      <c r="F23" s="137"/>
      <c r="G23" s="137" t="str">
        <f>IF(OR(A23="",F23=""),"",A23*F23*(1-D23))</f>
        <v/>
      </c>
    </row>
    <row r="24" spans="1:7" ht="15" customHeight="1">
      <c r="A24" s="98"/>
      <c r="B24" s="51"/>
      <c r="C24" s="52"/>
      <c r="D24" s="107"/>
      <c r="E24" s="114"/>
      <c r="F24" s="137"/>
      <c r="G24" s="137" t="str">
        <f t="shared" si="0"/>
        <v/>
      </c>
    </row>
    <row r="25" spans="1:7" ht="15" customHeight="1">
      <c r="A25" s="98"/>
      <c r="B25" s="51"/>
      <c r="C25" s="52"/>
      <c r="D25" s="107"/>
      <c r="E25" s="114"/>
      <c r="F25" s="137"/>
      <c r="G25" s="137" t="str">
        <f t="shared" si="0"/>
        <v/>
      </c>
    </row>
    <row r="26" spans="1:7" ht="15" customHeight="1">
      <c r="A26" s="98"/>
      <c r="B26" s="51"/>
      <c r="C26" s="52"/>
      <c r="D26" s="107"/>
      <c r="E26" s="114"/>
      <c r="F26" s="137"/>
      <c r="G26" s="137" t="str">
        <f t="shared" si="0"/>
        <v/>
      </c>
    </row>
    <row r="27" spans="1:7" ht="15" customHeight="1">
      <c r="A27" s="98"/>
      <c r="B27" s="51"/>
      <c r="C27" s="52"/>
      <c r="D27" s="107"/>
      <c r="E27" s="114"/>
      <c r="F27" s="137"/>
      <c r="G27" s="137" t="str">
        <f>IF(OR(A27="",F27=""),"",A27*F27*(1-D27))</f>
        <v/>
      </c>
    </row>
    <row r="28" spans="1:7" ht="15" customHeight="1">
      <c r="A28" s="98"/>
      <c r="B28" s="51"/>
      <c r="C28" s="52"/>
      <c r="D28" s="107"/>
      <c r="E28" s="114"/>
      <c r="F28" s="137"/>
      <c r="G28" s="137" t="str">
        <f t="shared" ref="G28:G37" si="1">IF(OR(A28="",F28=""),"",A28*F28*(1-D28))</f>
        <v/>
      </c>
    </row>
    <row r="29" spans="1:7" ht="15" customHeight="1">
      <c r="A29" s="98"/>
      <c r="B29" s="51"/>
      <c r="C29" s="158"/>
      <c r="D29" s="107"/>
      <c r="E29" s="114"/>
      <c r="F29" s="137"/>
      <c r="G29" s="137" t="str">
        <f t="shared" si="1"/>
        <v/>
      </c>
    </row>
    <row r="30" spans="1:7" ht="15" customHeight="1">
      <c r="A30" s="98"/>
      <c r="B30" s="51"/>
      <c r="C30" s="158"/>
      <c r="D30" s="107"/>
      <c r="E30" s="114"/>
      <c r="F30" s="137"/>
      <c r="G30" s="137" t="str">
        <f t="shared" si="1"/>
        <v/>
      </c>
    </row>
    <row r="31" spans="1:7" ht="15" customHeight="1">
      <c r="A31" s="83"/>
      <c r="B31" s="105"/>
      <c r="C31" s="149"/>
      <c r="D31" s="107"/>
      <c r="E31" s="114"/>
      <c r="F31" s="135"/>
      <c r="G31" s="137" t="str">
        <f t="shared" si="1"/>
        <v/>
      </c>
    </row>
    <row r="32" spans="1:7" ht="15" customHeight="1">
      <c r="A32" s="83"/>
      <c r="B32" s="51"/>
      <c r="C32" s="52"/>
      <c r="D32" s="107"/>
      <c r="E32" s="114"/>
      <c r="F32" s="141"/>
      <c r="G32" s="137" t="str">
        <f t="shared" si="1"/>
        <v/>
      </c>
    </row>
    <row r="33" spans="1:7" ht="15" customHeight="1">
      <c r="A33" s="83"/>
      <c r="B33" s="51"/>
      <c r="C33" s="52"/>
      <c r="D33" s="107"/>
      <c r="E33" s="114"/>
      <c r="F33" s="135"/>
      <c r="G33" s="137" t="str">
        <f t="shared" si="1"/>
        <v/>
      </c>
    </row>
    <row r="34" spans="1:7" ht="15" customHeight="1">
      <c r="A34" s="98"/>
      <c r="B34" s="52"/>
      <c r="C34" s="52"/>
      <c r="D34" s="107"/>
      <c r="E34" s="114"/>
      <c r="F34" s="137"/>
      <c r="G34" s="137" t="str">
        <f t="shared" si="1"/>
        <v/>
      </c>
    </row>
    <row r="35" spans="1:7" ht="15" customHeight="1">
      <c r="A35" s="83"/>
      <c r="B35" s="51"/>
      <c r="C35" s="52"/>
      <c r="D35" s="107"/>
      <c r="E35" s="114"/>
      <c r="F35" s="135"/>
      <c r="G35" s="137" t="str">
        <f t="shared" si="1"/>
        <v/>
      </c>
    </row>
    <row r="36" spans="1:7" ht="15" customHeight="1">
      <c r="A36" s="98"/>
      <c r="B36" s="52"/>
      <c r="C36" s="149"/>
      <c r="D36" s="107"/>
      <c r="E36" s="114"/>
      <c r="F36" s="137"/>
      <c r="G36" s="137" t="str">
        <f t="shared" si="1"/>
        <v/>
      </c>
    </row>
    <row r="37" spans="1:7" ht="15" customHeight="1">
      <c r="A37" s="98"/>
      <c r="B37" s="51"/>
      <c r="C37" s="52"/>
      <c r="D37" s="107"/>
      <c r="E37" s="114"/>
      <c r="F37" s="137"/>
      <c r="G37" s="137" t="str">
        <f t="shared" si="1"/>
        <v/>
      </c>
    </row>
    <row r="38" spans="1:7" ht="15" customHeight="1">
      <c r="A38" s="98"/>
      <c r="B38" s="52"/>
      <c r="C38" s="52"/>
      <c r="D38" s="107"/>
      <c r="E38" s="114"/>
      <c r="F38" s="137"/>
      <c r="G38" s="137" t="str">
        <f t="shared" ref="G38:G48" si="2">IF(OR(A38="",F38=""),"",A38*F38*(1-D38))</f>
        <v/>
      </c>
    </row>
    <row r="39" spans="1:7" ht="15" customHeight="1">
      <c r="A39" s="98"/>
      <c r="B39" s="150"/>
      <c r="C39" s="151"/>
      <c r="D39" s="107"/>
      <c r="E39" s="114"/>
      <c r="F39" s="141"/>
      <c r="G39" s="137" t="str">
        <f t="shared" si="2"/>
        <v/>
      </c>
    </row>
    <row r="40" spans="1:7" ht="15" customHeight="1">
      <c r="A40" s="98"/>
      <c r="B40" s="150"/>
      <c r="C40" s="151"/>
      <c r="D40" s="107"/>
      <c r="E40" s="114"/>
      <c r="F40" s="141"/>
      <c r="G40" s="137" t="str">
        <f t="shared" si="2"/>
        <v/>
      </c>
    </row>
    <row r="41" spans="1:7" ht="15" customHeight="1">
      <c r="A41" s="83"/>
      <c r="B41" s="51"/>
      <c r="C41" s="52"/>
      <c r="D41" s="107"/>
      <c r="E41" s="114"/>
      <c r="F41" s="141"/>
      <c r="G41" s="137" t="str">
        <f t="shared" si="2"/>
        <v/>
      </c>
    </row>
    <row r="42" spans="1:7">
      <c r="A42" s="98"/>
      <c r="B42" s="105"/>
      <c r="C42" s="52"/>
      <c r="D42" s="107"/>
      <c r="E42" s="114"/>
      <c r="F42" s="135"/>
      <c r="G42" s="137" t="str">
        <f>IF(OR(A42="",F42=""),"",A42*F42*(1-D42))</f>
        <v/>
      </c>
    </row>
    <row r="43" spans="1:7">
      <c r="A43" s="98"/>
      <c r="B43" s="51"/>
      <c r="C43" s="52"/>
      <c r="D43" s="107"/>
      <c r="E43" s="114"/>
      <c r="F43" s="141"/>
      <c r="G43" s="137" t="str">
        <f>IF(OR(A43="",F43=""),"",A43*F43*(1-D43))</f>
        <v/>
      </c>
    </row>
    <row r="44" spans="1:7">
      <c r="A44" s="98"/>
      <c r="B44" s="52"/>
      <c r="C44" s="52"/>
      <c r="D44" s="107"/>
      <c r="E44" s="114"/>
      <c r="F44" s="141"/>
      <c r="G44" s="137" t="str">
        <f t="shared" si="2"/>
        <v/>
      </c>
    </row>
    <row r="45" spans="1:7">
      <c r="A45" s="98"/>
      <c r="B45" s="52"/>
      <c r="C45" s="52"/>
      <c r="D45" s="107"/>
      <c r="E45" s="114"/>
      <c r="F45" s="141"/>
      <c r="G45" s="137" t="str">
        <f t="shared" si="2"/>
        <v/>
      </c>
    </row>
    <row r="46" spans="1:7">
      <c r="A46" s="98"/>
      <c r="B46" s="52"/>
      <c r="C46" s="52"/>
      <c r="D46" s="107"/>
      <c r="E46" s="114"/>
      <c r="F46" s="141"/>
      <c r="G46" s="137" t="str">
        <f t="shared" si="2"/>
        <v/>
      </c>
    </row>
    <row r="47" spans="1:7">
      <c r="A47" s="98"/>
      <c r="B47" s="105"/>
      <c r="C47" s="52"/>
      <c r="D47" s="107"/>
      <c r="E47" s="114"/>
      <c r="F47" s="135"/>
      <c r="G47" s="137" t="str">
        <f t="shared" si="2"/>
        <v/>
      </c>
    </row>
    <row r="48" spans="1:7">
      <c r="A48" s="98"/>
      <c r="B48" s="52"/>
      <c r="C48" s="52"/>
      <c r="D48" s="107"/>
      <c r="E48" s="114"/>
      <c r="F48" s="141"/>
      <c r="G48" s="137" t="str">
        <f t="shared" si="2"/>
        <v/>
      </c>
    </row>
    <row r="49" spans="1:7">
      <c r="A49" s="98"/>
      <c r="B49" s="52"/>
      <c r="C49" s="52"/>
      <c r="D49" s="107"/>
      <c r="E49" s="114"/>
      <c r="F49" s="141"/>
      <c r="G49" s="137" t="str">
        <f t="shared" ref="G49:G51" si="3">IF(OR(A49="",F49=""),"",A49*F49*(1-D49))</f>
        <v/>
      </c>
    </row>
    <row r="50" spans="1:7">
      <c r="A50" s="98"/>
      <c r="B50" s="52"/>
      <c r="C50" s="52"/>
      <c r="D50" s="107"/>
      <c r="E50" s="114"/>
      <c r="F50" s="141"/>
      <c r="G50" s="137" t="str">
        <f t="shared" si="3"/>
        <v/>
      </c>
    </row>
    <row r="51" spans="1:7">
      <c r="A51" s="98"/>
      <c r="B51" s="51"/>
      <c r="C51" s="52"/>
      <c r="D51" s="107"/>
      <c r="E51" s="114"/>
      <c r="F51" s="141"/>
      <c r="G51" s="137" t="str">
        <f t="shared" si="3"/>
        <v/>
      </c>
    </row>
    <row r="52" spans="1:7">
      <c r="A52" s="70"/>
      <c r="B52" s="152"/>
      <c r="C52" s="152"/>
      <c r="D52" s="153"/>
      <c r="E52" s="153"/>
      <c r="F52" s="154"/>
      <c r="G52" s="154"/>
    </row>
    <row r="53" spans="1:7" s="30" customFormat="1">
      <c r="A53" s="70" t="s">
        <v>17</v>
      </c>
      <c r="B53" s="15" t="s">
        <v>20</v>
      </c>
      <c r="C53" s="71" t="s">
        <v>12</v>
      </c>
      <c r="D53" s="15" t="s">
        <v>13</v>
      </c>
      <c r="E53" s="180" t="s">
        <v>14</v>
      </c>
      <c r="F53" s="180"/>
      <c r="G53" s="72" t="s">
        <v>15</v>
      </c>
    </row>
    <row r="54" spans="1:7" ht="14.25" customHeight="1">
      <c r="A54" s="173">
        <f>SUM(cotizador[IMPORTE], cotizador2[IMPORTE], cotizador3[IMPORTE])</f>
        <v>0</v>
      </c>
      <c r="B54" s="174"/>
      <c r="C54" s="142"/>
      <c r="D54" s="143">
        <f>(SUMIF(cotizador[[#All],[IVA %]],10.5%,cotizador[[#All],[IMPORTE]]) +
  SUMIF(cotizador2[[#All],[IVA %]],10.5%,cotizador2[[#All],[IMPORTE]]) +
  SUMIF(cotizador3[[#All],[IVA %]],10.5%,cotizador3[[#All],[IMPORTE]])
) * 10.5%</f>
        <v>0</v>
      </c>
      <c r="E54" s="172">
        <f>(
  SUMIF(cotizador[[#All],[IVA %]],21%,cotizador[[#All],[IMPORTE]]) +
  SUMIF(cotizador2[[#All],[IVA %]],21%,cotizador2[[#All],[IMPORTE]]) +
  SUMIF(cotizador3[[#All],[IVA %]],21%,cotizador3[[#All],[IMPORTE]])
) * 21%</f>
        <v>0</v>
      </c>
      <c r="F54" s="172"/>
      <c r="G54" s="138">
        <f>SUM(A54+D54+E54)</f>
        <v>0</v>
      </c>
    </row>
    <row r="55" spans="1:7">
      <c r="A55" s="55"/>
      <c r="B55" s="16"/>
      <c r="C55" s="25"/>
      <c r="D55" s="16"/>
      <c r="E55" s="47"/>
      <c r="F55" s="31"/>
      <c r="G55" s="8"/>
    </row>
    <row r="56" spans="1:7"/>
    <row r="57" spans="1:7"/>
    <row r="58" spans="1:7"/>
    <row r="59" spans="1:7"/>
    <row r="60" spans="1:7"/>
    <row r="61" spans="1:7"/>
    <row r="62" spans="1:7"/>
    <row r="63" spans="1:7"/>
    <row r="64" spans="1:7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</sheetData>
  <sheetProtection formatCells="0" formatColumns="0" selectLockedCells="1" selectUnlockedCells="1"/>
  <dataConsolidate/>
  <mergeCells count="11">
    <mergeCell ref="E54:F54"/>
    <mergeCell ref="A54:B54"/>
    <mergeCell ref="F6:G6"/>
    <mergeCell ref="B15:C15"/>
    <mergeCell ref="B16:C16"/>
    <mergeCell ref="E53:F53"/>
    <mergeCell ref="B12:C12"/>
    <mergeCell ref="B13:C13"/>
    <mergeCell ref="B14:C14"/>
    <mergeCell ref="F12:G12"/>
    <mergeCell ref="F13:G13"/>
  </mergeCells>
  <phoneticPr fontId="2" type="noConversion"/>
  <dataValidations count="2">
    <dataValidation type="list" allowBlank="1" showInputMessage="1" showErrorMessage="1" sqref="E13" xr:uid="{B36475C6-A873-4BBA-9CCB-A87420DFC1DF}">
      <formula1>"CUIT:,CUIL:,DNI:,DNICF:"</formula1>
    </dataValidation>
    <dataValidation type="list" allowBlank="1" showInputMessage="1" showErrorMessage="1" sqref="D52" xr:uid="{D752FDF1-3268-4FD9-981C-2F4ECF3DC717}">
      <formula1>"0,0,10,0,15,0,20"</formula1>
    </dataValidation>
  </dataValidations>
  <pageMargins left="0" right="0" top="0" bottom="0" header="0" footer="0"/>
  <pageSetup paperSize="9" scale="90"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ExportarCotizacionPDF">
                <anchor moveWithCells="1" sizeWithCells="1">
                  <from>
                    <xdr:col>1</xdr:col>
                    <xdr:colOff>847725</xdr:colOff>
                    <xdr:row>1</xdr:row>
                    <xdr:rowOff>9525</xdr:rowOff>
                  </from>
                  <to>
                    <xdr:col>2</xdr:col>
                    <xdr:colOff>1133475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CopiarCotizacionAFactura">
                <anchor moveWithCells="1" sizeWithCells="1">
                  <from>
                    <xdr:col>2</xdr:col>
                    <xdr:colOff>1200150</xdr:colOff>
                    <xdr:row>0</xdr:row>
                    <xdr:rowOff>180975</xdr:rowOff>
                  </from>
                  <to>
                    <xdr:col>3</xdr:col>
                    <xdr:colOff>66675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NuevaCotizacion">
                <anchor moveWithCells="1" sizeWithCells="1">
                  <from>
                    <xdr:col>0</xdr:col>
                    <xdr:colOff>276225</xdr:colOff>
                    <xdr:row>1</xdr:row>
                    <xdr:rowOff>9525</xdr:rowOff>
                  </from>
                  <to>
                    <xdr:col>1</xdr:col>
                    <xdr:colOff>742950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47E0A5-B15F-4F5F-9189-01498CC4D047}">
          <x14:formula1>
            <xm:f>'Clientes'!$A$4:$A$2878</xm:f>
          </x14:formula1>
          <xm:sqref>F12:G12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BC5A2-9F3B-40E3-B634-22149934BAFA}">
  <sheetPr codeName="Hoja15">
    <pageSetUpPr fitToPage="1"/>
  </sheetPr>
  <dimension ref="A1:G84"/>
  <sheetViews>
    <sheetView zoomScale="115" zoomScaleNormal="115" workbookViewId="0">
      <selection activeCell="G5" sqref="G5"/>
    </sheetView>
  </sheetViews>
  <sheetFormatPr baseColWidth="10" defaultColWidth="0" defaultRowHeight="0" customHeight="1" zeroHeight="1"/>
  <cols>
    <col min="1" max="1" width="10" customWidth="1"/>
    <col min="2" max="2" width="14" customWidth="1"/>
    <col min="3" max="3" width="35.28515625" style="29" customWidth="1"/>
    <col min="4" max="4" width="12.28515625" customWidth="1"/>
    <col min="5" max="5" width="12" style="46" customWidth="1"/>
    <col min="6" max="6" width="14.5703125" style="37" customWidth="1"/>
    <col min="7" max="7" width="18.140625" style="19" customWidth="1"/>
    <col min="8" max="16384" width="11.42578125" hidden="1"/>
  </cols>
  <sheetData>
    <row r="1" spans="1:7" ht="15">
      <c r="A1" s="2"/>
      <c r="B1" s="2"/>
      <c r="C1" s="5"/>
      <c r="D1" s="2"/>
      <c r="E1" s="38"/>
      <c r="F1" s="34"/>
      <c r="G1" s="4"/>
    </row>
    <row r="2" spans="1:7" ht="15">
      <c r="A2" s="2"/>
      <c r="B2" s="2"/>
      <c r="C2" s="5"/>
      <c r="D2" s="2"/>
      <c r="E2" s="39"/>
      <c r="F2" s="35" t="s">
        <v>73</v>
      </c>
      <c r="G2" s="4" t="s">
        <v>74</v>
      </c>
    </row>
    <row r="3" spans="1:7" ht="15">
      <c r="A3" s="2"/>
      <c r="B3" s="2"/>
      <c r="C3" s="5"/>
      <c r="D3" s="2"/>
      <c r="E3" s="38"/>
      <c r="F3" s="35" t="s">
        <v>19</v>
      </c>
      <c r="G3" s="73"/>
    </row>
    <row r="4" spans="1:7" ht="15">
      <c r="A4" s="2"/>
      <c r="B4" s="2"/>
      <c r="C4" s="5"/>
      <c r="D4" s="2"/>
      <c r="E4" s="38"/>
      <c r="F4" s="35" t="s">
        <v>18</v>
      </c>
      <c r="G4" s="3"/>
    </row>
    <row r="5" spans="1:7" ht="15">
      <c r="A5" s="2"/>
      <c r="B5" s="2"/>
      <c r="C5" s="5"/>
      <c r="D5" s="2"/>
      <c r="E5" s="38"/>
      <c r="F5" s="35" t="s">
        <v>70</v>
      </c>
      <c r="G5" s="4"/>
    </row>
    <row r="6" spans="1:7" ht="15">
      <c r="A6" s="2"/>
      <c r="B6" s="2"/>
      <c r="C6" s="5"/>
      <c r="D6" s="4"/>
      <c r="E6" s="38"/>
      <c r="F6" s="175"/>
      <c r="G6" s="175"/>
    </row>
    <row r="7" spans="1:7" ht="15">
      <c r="A7" s="165"/>
      <c r="B7" s="165"/>
      <c r="C7" s="5"/>
      <c r="D7" s="6"/>
      <c r="E7" s="40" t="s">
        <v>62</v>
      </c>
      <c r="F7" s="168"/>
      <c r="G7" s="8"/>
    </row>
    <row r="8" spans="1:7" ht="15">
      <c r="A8" s="6" t="s">
        <v>1</v>
      </c>
      <c r="B8" s="8"/>
      <c r="C8" s="25"/>
      <c r="D8" s="9"/>
      <c r="E8" s="40" t="s">
        <v>85</v>
      </c>
      <c r="F8" s="168"/>
      <c r="G8" s="20"/>
    </row>
    <row r="9" spans="1:7" ht="15">
      <c r="A9" s="6" t="s">
        <v>82</v>
      </c>
      <c r="B9" s="7"/>
      <c r="C9" s="25"/>
      <c r="D9" s="9"/>
      <c r="E9" s="40" t="s">
        <v>86</v>
      </c>
      <c r="F9" s="168"/>
      <c r="G9" s="20"/>
    </row>
    <row r="10" spans="1:7" ht="15">
      <c r="A10" s="6" t="s">
        <v>83</v>
      </c>
      <c r="B10" s="7"/>
      <c r="C10" s="25"/>
      <c r="D10" s="9"/>
      <c r="E10" s="40" t="s">
        <v>87</v>
      </c>
      <c r="F10" s="168"/>
      <c r="G10" s="20"/>
    </row>
    <row r="11" spans="1:7" ht="15.75" thickBot="1">
      <c r="A11" s="10" t="s">
        <v>84</v>
      </c>
      <c r="B11" s="10"/>
      <c r="C11" s="26"/>
      <c r="D11" s="11"/>
      <c r="E11" s="41" t="s">
        <v>88</v>
      </c>
      <c r="F11" s="36"/>
      <c r="G11" s="21"/>
    </row>
    <row r="12" spans="1:7" ht="15" customHeight="1">
      <c r="A12" s="55" t="s">
        <v>0</v>
      </c>
      <c r="B12" s="181" t="str">
        <f>VLOOKUP(F12,'Clientes'!A3:J5,2,0)</f>
        <v>Consumidor final</v>
      </c>
      <c r="C12" s="182"/>
      <c r="D12" s="12"/>
      <c r="E12" s="42" t="s">
        <v>16</v>
      </c>
      <c r="F12" s="185">
        <f>'Cotizador'!F12</f>
        <v>1000</v>
      </c>
      <c r="G12" s="185"/>
    </row>
    <row r="13" spans="1:7" ht="15" customHeight="1">
      <c r="A13" s="55" t="s">
        <v>1</v>
      </c>
      <c r="B13" s="183" t="str">
        <f>VLOOKUP(F12,'Clientes'!A3:J5,3,0)</f>
        <v>-</v>
      </c>
      <c r="C13" s="184"/>
      <c r="D13" s="12"/>
      <c r="E13" s="42" t="s">
        <v>62</v>
      </c>
      <c r="F13" s="186" t="str">
        <f>VLOOKUP(F12,'Clientes'!A3:J5,7,0)</f>
        <v>-</v>
      </c>
      <c r="G13" s="187"/>
    </row>
    <row r="14" spans="1:7" ht="15">
      <c r="A14" s="55"/>
      <c r="B14" s="176" t="str">
        <f>VLOOKUP(F12,'Clientes'!A3:J5,4,0)</f>
        <v>-</v>
      </c>
      <c r="C14" s="177"/>
      <c r="D14" s="12"/>
      <c r="E14" s="42" t="s">
        <v>2</v>
      </c>
      <c r="F14" s="31"/>
      <c r="G14" s="59" t="str">
        <f>VLOOKUP(F12,'Clientes'!A3:J5,8,0)</f>
        <v>Contado</v>
      </c>
    </row>
    <row r="15" spans="1:7" ht="15">
      <c r="A15" s="55"/>
      <c r="B15" s="176" t="str">
        <f>VLOOKUP(F12,'Clientes'!A3:J5,5,0)</f>
        <v>-</v>
      </c>
      <c r="C15" s="177"/>
      <c r="D15" s="12"/>
      <c r="E15" s="42" t="s">
        <v>3</v>
      </c>
      <c r="F15" s="31"/>
      <c r="G15" s="13"/>
    </row>
    <row r="16" spans="1:7" ht="15">
      <c r="A16" s="56" t="s">
        <v>4</v>
      </c>
      <c r="B16" s="178" t="str">
        <f>VLOOKUP(F12,'Clientes'!A3:J5,6,0)</f>
        <v>CONSUMIDOR FINAL</v>
      </c>
      <c r="C16" s="179"/>
      <c r="D16" s="14"/>
      <c r="E16" s="43"/>
      <c r="F16" s="32"/>
      <c r="G16" s="15"/>
    </row>
    <row r="17" spans="1:7" ht="15">
      <c r="A17" s="56"/>
      <c r="B17" s="15"/>
      <c r="C17" s="27"/>
      <c r="D17" s="15"/>
      <c r="E17" s="44"/>
      <c r="F17" s="31"/>
      <c r="G17" s="13"/>
    </row>
    <row r="18" spans="1:7" ht="15">
      <c r="A18" s="57" t="s">
        <v>5</v>
      </c>
      <c r="B18" s="22" t="s">
        <v>6</v>
      </c>
      <c r="C18" s="28" t="s">
        <v>7</v>
      </c>
      <c r="D18" s="23" t="s">
        <v>53</v>
      </c>
      <c r="E18" s="157" t="s">
        <v>9</v>
      </c>
      <c r="F18" s="33" t="s">
        <v>10</v>
      </c>
      <c r="G18" s="24" t="s">
        <v>11</v>
      </c>
    </row>
    <row r="19" spans="1:7" ht="15" customHeight="1">
      <c r="A19" s="51"/>
      <c r="B19" s="51"/>
      <c r="C19" s="52"/>
      <c r="D19" s="101"/>
      <c r="E19" s="102"/>
      <c r="F19" s="135"/>
      <c r="G19" s="137" t="str">
        <f>IF(OR(A19="",F19=""),"",A19*F19*(1-D19))</f>
        <v/>
      </c>
    </row>
    <row r="20" spans="1:7" ht="15" customHeight="1">
      <c r="A20" s="83"/>
      <c r="B20" s="51"/>
      <c r="C20" s="52"/>
      <c r="D20" s="101"/>
      <c r="E20" s="102"/>
      <c r="F20" s="135"/>
      <c r="G20" s="137" t="str">
        <f t="shared" ref="G20:G22" si="0">IF(OR(A20="",F20=""),"",A20*F20*(1-D20))</f>
        <v/>
      </c>
    </row>
    <row r="21" spans="1:7" ht="15" customHeight="1">
      <c r="A21" s="83"/>
      <c r="B21" s="51"/>
      <c r="C21" s="52"/>
      <c r="D21" s="101"/>
      <c r="E21" s="102"/>
      <c r="F21" s="135"/>
      <c r="G21" s="137" t="str">
        <f t="shared" si="0"/>
        <v/>
      </c>
    </row>
    <row r="22" spans="1:7" ht="15" customHeight="1">
      <c r="A22" s="51"/>
      <c r="B22" s="51"/>
      <c r="C22" s="52"/>
      <c r="D22" s="101"/>
      <c r="E22" s="102"/>
      <c r="F22" s="135"/>
      <c r="G22" s="137" t="str">
        <f t="shared" si="0"/>
        <v/>
      </c>
    </row>
    <row r="23" spans="1:7" ht="15" customHeight="1">
      <c r="A23" s="83"/>
      <c r="B23" s="51"/>
      <c r="C23" s="52"/>
      <c r="D23" s="101"/>
      <c r="E23" s="102"/>
      <c r="F23" s="135"/>
      <c r="G23" s="137" t="str">
        <f t="shared" ref="G23:G52" si="1">IF(OR(A23="",F23=""),"",A23*F23*(1-D23))</f>
        <v/>
      </c>
    </row>
    <row r="24" spans="1:7" ht="15" customHeight="1">
      <c r="A24" s="52"/>
      <c r="B24" s="52"/>
      <c r="C24" s="52"/>
      <c r="D24" s="101"/>
      <c r="E24" s="102"/>
      <c r="F24" s="137"/>
      <c r="G24" s="137" t="str">
        <f t="shared" si="1"/>
        <v/>
      </c>
    </row>
    <row r="25" spans="1:7" ht="15" customHeight="1">
      <c r="A25" s="98"/>
      <c r="B25" s="52"/>
      <c r="C25" s="52"/>
      <c r="D25" s="101"/>
      <c r="E25" s="102"/>
      <c r="F25" s="137"/>
      <c r="G25" s="137" t="str">
        <f t="shared" si="1"/>
        <v/>
      </c>
    </row>
    <row r="26" spans="1:7" ht="15" customHeight="1">
      <c r="A26" s="98"/>
      <c r="B26" s="52"/>
      <c r="C26" s="52"/>
      <c r="D26" s="101"/>
      <c r="E26" s="102"/>
      <c r="F26" s="137"/>
      <c r="G26" s="137" t="str">
        <f t="shared" si="1"/>
        <v/>
      </c>
    </row>
    <row r="27" spans="1:7" ht="15" customHeight="1">
      <c r="A27" s="98"/>
      <c r="B27" s="52"/>
      <c r="C27" s="52"/>
      <c r="D27" s="101"/>
      <c r="E27" s="102"/>
      <c r="F27" s="137"/>
      <c r="G27" s="137" t="str">
        <f t="shared" si="1"/>
        <v/>
      </c>
    </row>
    <row r="28" spans="1:7" ht="15" customHeight="1">
      <c r="A28" s="52"/>
      <c r="B28" s="52"/>
      <c r="C28" s="52"/>
      <c r="D28" s="101"/>
      <c r="E28" s="102"/>
      <c r="F28" s="137"/>
      <c r="G28" s="137" t="str">
        <f t="shared" si="1"/>
        <v/>
      </c>
    </row>
    <row r="29" spans="1:7" ht="15" customHeight="1">
      <c r="A29" s="98"/>
      <c r="B29" s="52"/>
      <c r="C29" s="52"/>
      <c r="D29" s="101"/>
      <c r="E29" s="102"/>
      <c r="F29" s="137"/>
      <c r="G29" s="137" t="str">
        <f t="shared" si="1"/>
        <v/>
      </c>
    </row>
    <row r="30" spans="1:7" ht="15" customHeight="1">
      <c r="A30" s="98"/>
      <c r="B30" s="52"/>
      <c r="C30" s="52"/>
      <c r="D30" s="101"/>
      <c r="E30" s="102"/>
      <c r="F30" s="137"/>
      <c r="G30" s="137" t="str">
        <f t="shared" si="1"/>
        <v/>
      </c>
    </row>
    <row r="31" spans="1:7" ht="15" customHeight="1">
      <c r="A31" s="98"/>
      <c r="B31" s="52"/>
      <c r="C31" s="52"/>
      <c r="D31" s="101"/>
      <c r="E31" s="102"/>
      <c r="F31" s="137"/>
      <c r="G31" s="137" t="str">
        <f t="shared" si="1"/>
        <v/>
      </c>
    </row>
    <row r="32" spans="1:7" ht="15" customHeight="1">
      <c r="A32" s="98"/>
      <c r="B32" s="52"/>
      <c r="C32" s="52"/>
      <c r="D32" s="96"/>
      <c r="E32" s="102"/>
      <c r="F32" s="137"/>
      <c r="G32" s="137" t="str">
        <f t="shared" si="1"/>
        <v/>
      </c>
    </row>
    <row r="33" spans="1:7" ht="15" customHeight="1">
      <c r="A33" s="98"/>
      <c r="B33" s="52"/>
      <c r="C33" s="52"/>
      <c r="D33" s="96"/>
      <c r="E33" s="102"/>
      <c r="F33" s="137"/>
      <c r="G33" s="137" t="str">
        <f t="shared" si="1"/>
        <v/>
      </c>
    </row>
    <row r="34" spans="1:7" ht="15" customHeight="1">
      <c r="A34" s="98"/>
      <c r="B34" s="52"/>
      <c r="C34" s="52"/>
      <c r="D34" s="97"/>
      <c r="E34" s="102"/>
      <c r="F34" s="137"/>
      <c r="G34" s="137" t="str">
        <f t="shared" si="1"/>
        <v/>
      </c>
    </row>
    <row r="35" spans="1:7" ht="15" customHeight="1">
      <c r="A35" s="98"/>
      <c r="B35" s="52"/>
      <c r="C35" s="52"/>
      <c r="D35" s="97"/>
      <c r="E35" s="102"/>
      <c r="F35" s="137"/>
      <c r="G35" s="137" t="str">
        <f t="shared" si="1"/>
        <v/>
      </c>
    </row>
    <row r="36" spans="1:7" ht="15" customHeight="1">
      <c r="A36" s="98"/>
      <c r="B36" s="52"/>
      <c r="C36" s="52"/>
      <c r="D36" s="97"/>
      <c r="E36" s="102"/>
      <c r="F36" s="137"/>
      <c r="G36" s="137" t="str">
        <f t="shared" si="1"/>
        <v/>
      </c>
    </row>
    <row r="37" spans="1:7" ht="15" customHeight="1">
      <c r="A37" s="98"/>
      <c r="B37" s="52"/>
      <c r="C37" s="52"/>
      <c r="D37" s="97"/>
      <c r="E37" s="102"/>
      <c r="F37" s="137"/>
      <c r="G37" s="137" t="str">
        <f t="shared" si="1"/>
        <v/>
      </c>
    </row>
    <row r="38" spans="1:7" ht="15" customHeight="1">
      <c r="A38" s="98"/>
      <c r="B38" s="52"/>
      <c r="C38" s="52"/>
      <c r="D38" s="97"/>
      <c r="E38" s="102"/>
      <c r="F38" s="137"/>
      <c r="G38" s="137" t="str">
        <f t="shared" si="1"/>
        <v/>
      </c>
    </row>
    <row r="39" spans="1:7" ht="15" customHeight="1">
      <c r="A39" s="54"/>
      <c r="B39" s="52"/>
      <c r="C39" s="52"/>
      <c r="D39" s="99"/>
      <c r="E39" s="102"/>
      <c r="F39" s="137"/>
      <c r="G39" s="137" t="str">
        <f t="shared" si="1"/>
        <v/>
      </c>
    </row>
    <row r="40" spans="1:7" ht="15" customHeight="1">
      <c r="A40" s="98"/>
      <c r="B40" s="52"/>
      <c r="C40" s="52"/>
      <c r="D40" s="97"/>
      <c r="E40" s="102"/>
      <c r="F40" s="141"/>
      <c r="G40" s="137" t="str">
        <f t="shared" si="1"/>
        <v/>
      </c>
    </row>
    <row r="41" spans="1:7" ht="15" customHeight="1">
      <c r="A41" s="98"/>
      <c r="B41" s="52"/>
      <c r="C41" s="52"/>
      <c r="D41" s="97"/>
      <c r="E41" s="102"/>
      <c r="F41" s="141"/>
      <c r="G41" s="137" t="str">
        <f t="shared" si="1"/>
        <v/>
      </c>
    </row>
    <row r="42" spans="1:7" ht="15">
      <c r="A42" s="98"/>
      <c r="B42" s="52"/>
      <c r="C42" s="52"/>
      <c r="D42" s="53"/>
      <c r="E42" s="102"/>
      <c r="F42" s="141"/>
      <c r="G42" s="137" t="str">
        <f t="shared" si="1"/>
        <v/>
      </c>
    </row>
    <row r="43" spans="1:7" ht="15">
      <c r="A43" s="98"/>
      <c r="B43" s="52"/>
      <c r="C43" s="52"/>
      <c r="D43" s="53"/>
      <c r="E43" s="102"/>
      <c r="F43" s="141"/>
      <c r="G43" s="137" t="str">
        <f t="shared" si="1"/>
        <v/>
      </c>
    </row>
    <row r="44" spans="1:7" ht="15">
      <c r="A44" s="98"/>
      <c r="B44" s="52"/>
      <c r="C44" s="52"/>
      <c r="D44" s="53"/>
      <c r="E44" s="102"/>
      <c r="F44" s="141"/>
      <c r="G44" s="137" t="str">
        <f t="shared" si="1"/>
        <v/>
      </c>
    </row>
    <row r="45" spans="1:7" ht="15">
      <c r="A45" s="98"/>
      <c r="B45" s="52"/>
      <c r="C45" s="52"/>
      <c r="D45" s="53"/>
      <c r="E45" s="102"/>
      <c r="F45" s="141"/>
      <c r="G45" s="137" t="str">
        <f t="shared" si="1"/>
        <v/>
      </c>
    </row>
    <row r="46" spans="1:7" ht="15">
      <c r="A46" s="98"/>
      <c r="B46" s="52"/>
      <c r="C46" s="52"/>
      <c r="D46" s="53"/>
      <c r="E46" s="102"/>
      <c r="F46" s="141"/>
      <c r="G46" s="137" t="str">
        <f t="shared" si="1"/>
        <v/>
      </c>
    </row>
    <row r="47" spans="1:7" ht="15">
      <c r="A47" s="98"/>
      <c r="B47" s="51"/>
      <c r="C47" s="52"/>
      <c r="D47" s="53"/>
      <c r="E47" s="102"/>
      <c r="F47" s="141"/>
      <c r="G47" s="137" t="str">
        <f t="shared" si="1"/>
        <v/>
      </c>
    </row>
    <row r="48" spans="1:7" ht="15">
      <c r="A48" s="98"/>
      <c r="B48" s="52"/>
      <c r="C48" s="52"/>
      <c r="D48" s="53"/>
      <c r="E48" s="102"/>
      <c r="F48" s="141"/>
      <c r="G48" s="137" t="str">
        <f t="shared" si="1"/>
        <v/>
      </c>
    </row>
    <row r="49" spans="1:7" ht="15">
      <c r="A49" s="98"/>
      <c r="B49" s="52"/>
      <c r="C49" s="52"/>
      <c r="D49" s="99"/>
      <c r="E49" s="102"/>
      <c r="F49" s="141"/>
      <c r="G49" s="137" t="str">
        <f t="shared" si="1"/>
        <v/>
      </c>
    </row>
    <row r="50" spans="1:7" ht="15">
      <c r="A50" s="98"/>
      <c r="B50" s="52"/>
      <c r="C50" s="52"/>
      <c r="D50" s="99"/>
      <c r="E50" s="102"/>
      <c r="F50" s="141"/>
      <c r="G50" s="137" t="str">
        <f t="shared" si="1"/>
        <v/>
      </c>
    </row>
    <row r="51" spans="1:7" ht="15">
      <c r="A51" s="98"/>
      <c r="B51" s="52"/>
      <c r="C51" s="52"/>
      <c r="D51" s="53"/>
      <c r="E51" s="102"/>
      <c r="F51" s="141"/>
      <c r="G51" s="137" t="str">
        <f t="shared" si="1"/>
        <v/>
      </c>
    </row>
    <row r="52" spans="1:7" ht="15">
      <c r="A52" s="98"/>
      <c r="B52" s="51"/>
      <c r="C52" s="52"/>
      <c r="D52" s="53"/>
      <c r="E52" s="53"/>
      <c r="F52" s="137"/>
      <c r="G52" s="137" t="str">
        <f t="shared" si="1"/>
        <v/>
      </c>
    </row>
    <row r="53" spans="1:7" s="30" customFormat="1" ht="15">
      <c r="A53" s="70" t="s">
        <v>17</v>
      </c>
      <c r="B53" s="15" t="s">
        <v>20</v>
      </c>
      <c r="C53" s="71" t="s">
        <v>12</v>
      </c>
      <c r="D53" s="15" t="s">
        <v>13</v>
      </c>
      <c r="E53" s="180" t="s">
        <v>14</v>
      </c>
      <c r="F53" s="180"/>
      <c r="G53" s="72" t="s">
        <v>15</v>
      </c>
    </row>
    <row r="54" spans="1:7" ht="14.25" customHeight="1">
      <c r="A54" s="173">
        <f>SUM(cotizador[IMPORTE], cotizador2[IMPORTE], cotizador3[IMPORTE])</f>
        <v>0</v>
      </c>
      <c r="B54" s="174"/>
      <c r="C54" s="142"/>
      <c r="D54" s="143">
        <f>(
  SUMIF(cotizador[[#All],[IVA %]],10.5%,cotizador[[#All],[IMPORTE]]) +
  SUMIF(cotizador2[[#All],[IVA %]],10.5%,cotizador2[[#All],[IMPORTE]]) +
  SUMIF(cotizador3[[#All],[IVA %]],10.5%,cotizador3[[#All],[IMPORTE]])
) * 10.5%</f>
        <v>0</v>
      </c>
      <c r="E54" s="172">
        <f>(
  SUMIF(cotizador[[#All],[IVA %]],21%,cotizador[[#All],[IMPORTE]]) +
  SUMIF(cotizador2[[#All],[IVA %]],21%,cotizador2[[#All],[IMPORTE]]) +
  SUMIF(cotizador3[[#All],[IVA %]],21%,cotizador3[[#All],[IMPORTE]])
) * 21%</f>
        <v>0</v>
      </c>
      <c r="F54" s="172"/>
      <c r="G54" s="138">
        <f>SUM(A54+D54+E54)</f>
        <v>0</v>
      </c>
    </row>
    <row r="55" spans="1:7" ht="15">
      <c r="A55" s="55"/>
      <c r="B55" s="16"/>
      <c r="C55" s="25"/>
      <c r="D55" s="16"/>
      <c r="E55" s="47"/>
      <c r="F55" s="31"/>
      <c r="G55" s="8"/>
    </row>
    <row r="56" spans="1:7" ht="15"/>
    <row r="57" spans="1:7" ht="15"/>
    <row r="58" spans="1:7" ht="15"/>
    <row r="59" spans="1:7" ht="15"/>
    <row r="60" spans="1:7" ht="15"/>
    <row r="61" spans="1:7" ht="15"/>
    <row r="62" spans="1:7" ht="15"/>
    <row r="63" spans="1:7" ht="15"/>
    <row r="64" spans="1:7" ht="15"/>
    <row r="65" ht="15"/>
    <row r="66" ht="15"/>
    <row r="67" ht="15"/>
    <row r="68" ht="15"/>
    <row r="69" ht="15"/>
    <row r="70" ht="15"/>
    <row r="71" ht="15"/>
    <row r="72" ht="15"/>
    <row r="73" ht="15"/>
    <row r="74" ht="15"/>
    <row r="75" ht="15"/>
    <row r="76" ht="15"/>
    <row r="77" ht="15"/>
    <row r="78" ht="15"/>
    <row r="79" ht="15"/>
    <row r="80" ht="15"/>
    <row r="81" ht="15"/>
    <row r="82" ht="15"/>
    <row r="83" ht="15"/>
    <row r="84" ht="15"/>
  </sheetData>
  <sheetProtection formatCells="0" formatColumns="0" selectLockedCells="1" selectUnlockedCells="1"/>
  <dataConsolidate/>
  <mergeCells count="11">
    <mergeCell ref="B15:C15"/>
    <mergeCell ref="B16:C16"/>
    <mergeCell ref="E53:F53"/>
    <mergeCell ref="A54:B54"/>
    <mergeCell ref="E54:F54"/>
    <mergeCell ref="B14:C14"/>
    <mergeCell ref="F6:G6"/>
    <mergeCell ref="B12:C12"/>
    <mergeCell ref="F12:G12"/>
    <mergeCell ref="B13:C13"/>
    <mergeCell ref="F13:G13"/>
  </mergeCells>
  <dataValidations count="2">
    <dataValidation type="list" allowBlank="1" showInputMessage="1" showErrorMessage="1" sqref="D34:D52" xr:uid="{8F532FD8-0128-4582-B5A4-923F429309CF}">
      <formula1>"0,0,10,0,15,0,20"</formula1>
    </dataValidation>
    <dataValidation type="list" allowBlank="1" showInputMessage="1" showErrorMessage="1" sqref="E13" xr:uid="{94B21549-2A57-4664-B29B-0BD62BEFAD00}">
      <formula1>"CUIT:,CUIL:,DNI:,DNICF:"</formula1>
    </dataValidation>
  </dataValidations>
  <pageMargins left="0" right="0" top="0" bottom="0" header="0" footer="0"/>
  <pageSetup paperSize="9" scale="90" pageOrder="overThenDown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C04058-F6D0-49F2-96AF-F9613C424BE1}">
          <x14:formula1>
            <xm:f>'Clientes'!$A$4:$A$2878</xm:f>
          </x14:formula1>
          <xm:sqref>F12:G12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9BFDF-E14E-4DCE-B67D-483F7D6AFC67}">
  <sheetPr codeName="Hoja16">
    <pageSetUpPr fitToPage="1"/>
  </sheetPr>
  <dimension ref="A1:G84"/>
  <sheetViews>
    <sheetView zoomScale="115" zoomScaleNormal="115" workbookViewId="0">
      <selection activeCell="G15" sqref="G15"/>
    </sheetView>
  </sheetViews>
  <sheetFormatPr baseColWidth="10" defaultColWidth="0" defaultRowHeight="15" customHeight="1" zeroHeight="1"/>
  <cols>
    <col min="1" max="1" width="10" customWidth="1"/>
    <col min="2" max="2" width="14" customWidth="1"/>
    <col min="3" max="3" width="35.28515625" style="29" customWidth="1"/>
    <col min="4" max="4" width="12.28515625" customWidth="1"/>
    <col min="5" max="5" width="12" style="46" customWidth="1"/>
    <col min="6" max="6" width="14.5703125" style="37" customWidth="1"/>
    <col min="7" max="7" width="18.140625" style="19" customWidth="1"/>
    <col min="8" max="16384" width="11.42578125" hidden="1"/>
  </cols>
  <sheetData>
    <row r="1" spans="1:7">
      <c r="A1" s="2"/>
      <c r="B1" s="2"/>
      <c r="C1" s="5"/>
      <c r="D1" s="2"/>
      <c r="E1" s="38"/>
      <c r="F1" s="34"/>
      <c r="G1" s="4"/>
    </row>
    <row r="2" spans="1:7">
      <c r="A2" s="2"/>
      <c r="B2" s="2"/>
      <c r="C2" s="5"/>
      <c r="D2" s="2"/>
      <c r="E2" s="39"/>
      <c r="F2" s="35" t="s">
        <v>73</v>
      </c>
      <c r="G2" s="4" t="s">
        <v>72</v>
      </c>
    </row>
    <row r="3" spans="1:7">
      <c r="A3" s="2"/>
      <c r="B3" s="2"/>
      <c r="C3" s="5"/>
      <c r="D3" s="2"/>
      <c r="E3" s="38"/>
      <c r="F3" s="35" t="s">
        <v>19</v>
      </c>
      <c r="G3" s="73"/>
    </row>
    <row r="4" spans="1:7">
      <c r="A4" s="2"/>
      <c r="B4" s="2"/>
      <c r="C4" s="5"/>
      <c r="D4" s="2"/>
      <c r="E4" s="38"/>
      <c r="F4" s="35" t="s">
        <v>18</v>
      </c>
      <c r="G4" s="3"/>
    </row>
    <row r="5" spans="1:7">
      <c r="A5" s="2"/>
      <c r="B5" s="2"/>
      <c r="C5" s="5"/>
      <c r="D5" s="2"/>
      <c r="E5" s="38"/>
      <c r="F5" s="35" t="s">
        <v>70</v>
      </c>
      <c r="G5" s="4"/>
    </row>
    <row r="6" spans="1:7">
      <c r="A6" s="2"/>
      <c r="B6" s="2"/>
      <c r="C6" s="5"/>
      <c r="D6" s="4"/>
      <c r="E6" s="38"/>
      <c r="F6" s="175"/>
      <c r="G6" s="175"/>
    </row>
    <row r="7" spans="1:7">
      <c r="A7" s="165"/>
      <c r="B7" s="165"/>
      <c r="C7" s="5"/>
      <c r="D7" s="6"/>
      <c r="E7" s="40" t="s">
        <v>62</v>
      </c>
      <c r="F7" s="168"/>
      <c r="G7" s="8"/>
    </row>
    <row r="8" spans="1:7">
      <c r="A8" s="6" t="s">
        <v>1</v>
      </c>
      <c r="B8" s="8"/>
      <c r="C8" s="25"/>
      <c r="D8" s="9"/>
      <c r="E8" s="40" t="s">
        <v>85</v>
      </c>
      <c r="F8" s="168"/>
      <c r="G8" s="20"/>
    </row>
    <row r="9" spans="1:7">
      <c r="A9" s="6" t="s">
        <v>82</v>
      </c>
      <c r="B9" s="7"/>
      <c r="C9" s="25"/>
      <c r="D9" s="9"/>
      <c r="E9" s="40" t="s">
        <v>86</v>
      </c>
      <c r="F9" s="168"/>
      <c r="G9" s="20"/>
    </row>
    <row r="10" spans="1:7">
      <c r="A10" s="6" t="s">
        <v>83</v>
      </c>
      <c r="B10" s="7"/>
      <c r="C10" s="25"/>
      <c r="D10" s="9"/>
      <c r="E10" s="40" t="s">
        <v>87</v>
      </c>
      <c r="F10" s="168"/>
      <c r="G10" s="20"/>
    </row>
    <row r="11" spans="1:7" ht="15.75" thickBot="1">
      <c r="A11" s="10" t="s">
        <v>84</v>
      </c>
      <c r="B11" s="10"/>
      <c r="C11" s="26"/>
      <c r="D11" s="11"/>
      <c r="E11" s="41" t="s">
        <v>88</v>
      </c>
      <c r="F11" s="36"/>
      <c r="G11" s="21"/>
    </row>
    <row r="12" spans="1:7" ht="15" customHeight="1">
      <c r="A12" s="55" t="s">
        <v>0</v>
      </c>
      <c r="B12" s="181" t="str">
        <f>VLOOKUP(F12,'Clientes'!A3:J5,2,0)</f>
        <v>Consumidor final</v>
      </c>
      <c r="C12" s="182"/>
      <c r="D12" s="12"/>
      <c r="E12" s="42" t="s">
        <v>16</v>
      </c>
      <c r="F12" s="185">
        <f>'Cotizador'!F12</f>
        <v>1000</v>
      </c>
      <c r="G12" s="185"/>
    </row>
    <row r="13" spans="1:7" ht="15" customHeight="1">
      <c r="A13" s="55" t="s">
        <v>1</v>
      </c>
      <c r="B13" s="183" t="str">
        <f>VLOOKUP(F12,'Clientes'!A3:J5,3,0)</f>
        <v>-</v>
      </c>
      <c r="C13" s="184"/>
      <c r="D13" s="12"/>
      <c r="E13" s="42" t="s">
        <v>62</v>
      </c>
      <c r="F13" s="186" t="str">
        <f>VLOOKUP(F12,'Clientes'!A3:J5,7,0)</f>
        <v>-</v>
      </c>
      <c r="G13" s="187"/>
    </row>
    <row r="14" spans="1:7">
      <c r="A14" s="55"/>
      <c r="B14" s="176" t="str">
        <f>VLOOKUP(F12,'Clientes'!A3:J5,4,0)</f>
        <v>-</v>
      </c>
      <c r="C14" s="177"/>
      <c r="D14" s="12"/>
      <c r="E14" s="42" t="s">
        <v>2</v>
      </c>
      <c r="F14" s="31"/>
      <c r="G14" s="59" t="str">
        <f>VLOOKUP(F12,'Clientes'!A3:J5,8,0)</f>
        <v>Contado</v>
      </c>
    </row>
    <row r="15" spans="1:7">
      <c r="A15" s="55"/>
      <c r="B15" s="176" t="str">
        <f>VLOOKUP(F12,'Clientes'!A3:J5,5,0)</f>
        <v>-</v>
      </c>
      <c r="C15" s="177"/>
      <c r="D15" s="12"/>
      <c r="E15" s="42" t="s">
        <v>3</v>
      </c>
      <c r="F15" s="31"/>
      <c r="G15" s="13"/>
    </row>
    <row r="16" spans="1:7">
      <c r="A16" s="56" t="s">
        <v>4</v>
      </c>
      <c r="B16" s="178" t="str">
        <f>VLOOKUP(F12,'Clientes'!A3:J5,6,0)</f>
        <v>CONSUMIDOR FINAL</v>
      </c>
      <c r="C16" s="179"/>
      <c r="D16" s="14"/>
      <c r="E16" s="43"/>
      <c r="F16" s="32"/>
      <c r="G16" s="15"/>
    </row>
    <row r="17" spans="1:7">
      <c r="A17" s="56"/>
      <c r="B17" s="15"/>
      <c r="C17" s="27"/>
      <c r="D17" s="15"/>
      <c r="E17" s="44"/>
      <c r="F17" s="31"/>
      <c r="G17" s="13"/>
    </row>
    <row r="18" spans="1:7">
      <c r="A18" s="57" t="s">
        <v>5</v>
      </c>
      <c r="B18" s="22" t="s">
        <v>6</v>
      </c>
      <c r="C18" s="28" t="s">
        <v>7</v>
      </c>
      <c r="D18" s="23" t="s">
        <v>53</v>
      </c>
      <c r="E18" s="45" t="s">
        <v>9</v>
      </c>
      <c r="F18" s="33" t="s">
        <v>10</v>
      </c>
      <c r="G18" s="24" t="s">
        <v>11</v>
      </c>
    </row>
    <row r="19" spans="1:7" ht="15" customHeight="1">
      <c r="A19" s="83"/>
      <c r="B19" s="51"/>
      <c r="C19" s="52"/>
      <c r="D19" s="101"/>
      <c r="E19" s="102"/>
      <c r="F19" s="103"/>
      <c r="G19" s="58" t="str">
        <f t="shared" ref="G19:G52" si="0">IF(OR(A19="",F19=""),"",A19*F19*(1-D19))</f>
        <v/>
      </c>
    </row>
    <row r="20" spans="1:7" ht="15" customHeight="1">
      <c r="A20" s="83"/>
      <c r="B20" s="51"/>
      <c r="C20" s="52"/>
      <c r="D20" s="101"/>
      <c r="E20" s="102"/>
      <c r="F20" s="103"/>
      <c r="G20" s="58" t="str">
        <f t="shared" si="0"/>
        <v/>
      </c>
    </row>
    <row r="21" spans="1:7" ht="15" customHeight="1">
      <c r="A21" s="83"/>
      <c r="B21" s="51"/>
      <c r="C21" s="52"/>
      <c r="D21" s="104"/>
      <c r="E21" s="102"/>
      <c r="F21" s="103"/>
      <c r="G21" s="58" t="str">
        <f t="shared" si="0"/>
        <v/>
      </c>
    </row>
    <row r="22" spans="1:7" ht="15" customHeight="1">
      <c r="A22" s="83"/>
      <c r="B22" s="51"/>
      <c r="C22" s="52"/>
      <c r="D22" s="104"/>
      <c r="E22" s="102"/>
      <c r="F22" s="103"/>
      <c r="G22" s="58" t="str">
        <f t="shared" si="0"/>
        <v/>
      </c>
    </row>
    <row r="23" spans="1:7" ht="15" customHeight="1">
      <c r="A23" s="83"/>
      <c r="B23" s="51"/>
      <c r="C23" s="52"/>
      <c r="D23" s="104"/>
      <c r="E23" s="102"/>
      <c r="F23" s="103"/>
      <c r="G23" s="58" t="str">
        <f t="shared" si="0"/>
        <v/>
      </c>
    </row>
    <row r="24" spans="1:7" ht="15" customHeight="1">
      <c r="A24" s="98"/>
      <c r="B24" s="52"/>
      <c r="C24" s="52"/>
      <c r="D24" s="52"/>
      <c r="E24" s="102"/>
      <c r="F24" s="58"/>
      <c r="G24" s="58" t="str">
        <f t="shared" si="0"/>
        <v/>
      </c>
    </row>
    <row r="25" spans="1:7" ht="15" customHeight="1">
      <c r="A25" s="98"/>
      <c r="B25" s="52"/>
      <c r="C25" s="52"/>
      <c r="D25" s="52"/>
      <c r="E25" s="102"/>
      <c r="F25" s="58"/>
      <c r="G25" s="58" t="str">
        <f t="shared" si="0"/>
        <v/>
      </c>
    </row>
    <row r="26" spans="1:7" ht="15" customHeight="1">
      <c r="A26" s="98"/>
      <c r="B26" s="52"/>
      <c r="C26" s="52"/>
      <c r="D26" s="52"/>
      <c r="E26" s="53"/>
      <c r="F26" s="58"/>
      <c r="G26" s="58" t="str">
        <f t="shared" si="0"/>
        <v/>
      </c>
    </row>
    <row r="27" spans="1:7" ht="15" customHeight="1">
      <c r="A27" s="98"/>
      <c r="B27" s="52"/>
      <c r="C27" s="52"/>
      <c r="D27" s="52"/>
      <c r="E27" s="53"/>
      <c r="F27" s="58"/>
      <c r="G27" s="58" t="str">
        <f t="shared" si="0"/>
        <v/>
      </c>
    </row>
    <row r="28" spans="1:7" ht="15" customHeight="1">
      <c r="A28" s="98"/>
      <c r="B28" s="52"/>
      <c r="C28" s="52"/>
      <c r="D28" s="52"/>
      <c r="E28" s="53"/>
      <c r="F28" s="58"/>
      <c r="G28" s="58" t="str">
        <f t="shared" si="0"/>
        <v/>
      </c>
    </row>
    <row r="29" spans="1:7" ht="15" customHeight="1">
      <c r="A29" s="98"/>
      <c r="B29" s="52"/>
      <c r="C29" s="52"/>
      <c r="D29" s="52"/>
      <c r="E29" s="53"/>
      <c r="F29" s="58"/>
      <c r="G29" s="58" t="str">
        <f t="shared" si="0"/>
        <v/>
      </c>
    </row>
    <row r="30" spans="1:7" ht="15" customHeight="1">
      <c r="A30" s="98"/>
      <c r="B30" s="52"/>
      <c r="C30" s="52"/>
      <c r="D30" s="96"/>
      <c r="E30" s="53"/>
      <c r="F30" s="58"/>
      <c r="G30" s="58" t="str">
        <f t="shared" si="0"/>
        <v/>
      </c>
    </row>
    <row r="31" spans="1:7" ht="15" customHeight="1">
      <c r="A31" s="98"/>
      <c r="B31" s="52"/>
      <c r="C31" s="52"/>
      <c r="D31" s="96"/>
      <c r="E31" s="53"/>
      <c r="F31" s="58"/>
      <c r="G31" s="58" t="str">
        <f t="shared" si="0"/>
        <v/>
      </c>
    </row>
    <row r="32" spans="1:7" ht="15" customHeight="1">
      <c r="A32" s="98"/>
      <c r="B32" s="52"/>
      <c r="C32" s="52"/>
      <c r="D32" s="96"/>
      <c r="E32" s="53"/>
      <c r="F32" s="58"/>
      <c r="G32" s="58" t="str">
        <f t="shared" si="0"/>
        <v/>
      </c>
    </row>
    <row r="33" spans="1:7" ht="15" customHeight="1">
      <c r="A33" s="98"/>
      <c r="B33" s="52"/>
      <c r="C33" s="52"/>
      <c r="D33" s="96"/>
      <c r="E33" s="53"/>
      <c r="F33" s="58"/>
      <c r="G33" s="58" t="str">
        <f t="shared" si="0"/>
        <v/>
      </c>
    </row>
    <row r="34" spans="1:7" ht="15" customHeight="1">
      <c r="A34" s="98"/>
      <c r="B34" s="52"/>
      <c r="C34" s="52"/>
      <c r="D34" s="97"/>
      <c r="E34" s="53"/>
      <c r="F34" s="58"/>
      <c r="G34" s="58" t="str">
        <f t="shared" si="0"/>
        <v/>
      </c>
    </row>
    <row r="35" spans="1:7" ht="15" customHeight="1">
      <c r="A35" s="98"/>
      <c r="B35" s="52"/>
      <c r="C35" s="52"/>
      <c r="D35" s="97"/>
      <c r="E35" s="53"/>
      <c r="F35" s="58"/>
      <c r="G35" s="58" t="str">
        <f t="shared" si="0"/>
        <v/>
      </c>
    </row>
    <row r="36" spans="1:7" ht="15" customHeight="1">
      <c r="A36" s="98"/>
      <c r="B36" s="52"/>
      <c r="C36" s="52"/>
      <c r="D36" s="97"/>
      <c r="E36" s="53"/>
      <c r="F36" s="58"/>
      <c r="G36" s="58" t="str">
        <f t="shared" si="0"/>
        <v/>
      </c>
    </row>
    <row r="37" spans="1:7" ht="15" customHeight="1">
      <c r="A37" s="98"/>
      <c r="B37" s="52"/>
      <c r="C37" s="52"/>
      <c r="D37" s="97"/>
      <c r="E37" s="53"/>
      <c r="F37" s="58"/>
      <c r="G37" s="58" t="str">
        <f t="shared" si="0"/>
        <v/>
      </c>
    </row>
    <row r="38" spans="1:7" ht="15" customHeight="1">
      <c r="A38" s="98"/>
      <c r="B38" s="52"/>
      <c r="C38" s="52"/>
      <c r="D38" s="97"/>
      <c r="E38" s="53"/>
      <c r="F38" s="58"/>
      <c r="G38" s="58" t="str">
        <f t="shared" si="0"/>
        <v/>
      </c>
    </row>
    <row r="39" spans="1:7" ht="15" customHeight="1">
      <c r="A39" s="54"/>
      <c r="B39" s="52"/>
      <c r="C39" s="52"/>
      <c r="D39" s="99"/>
      <c r="E39" s="53"/>
      <c r="F39" s="58"/>
      <c r="G39" s="58" t="str">
        <f t="shared" si="0"/>
        <v/>
      </c>
    </row>
    <row r="40" spans="1:7" ht="15" customHeight="1">
      <c r="A40" s="98"/>
      <c r="B40" s="52"/>
      <c r="C40" s="52"/>
      <c r="D40" s="97"/>
      <c r="E40" s="53"/>
      <c r="F40" s="100"/>
      <c r="G40" s="58" t="str">
        <f t="shared" si="0"/>
        <v/>
      </c>
    </row>
    <row r="41" spans="1:7" ht="15" customHeight="1">
      <c r="A41" s="98"/>
      <c r="B41" s="52"/>
      <c r="C41" s="52"/>
      <c r="D41" s="97"/>
      <c r="E41" s="53"/>
      <c r="F41" s="100"/>
      <c r="G41" s="58" t="str">
        <f t="shared" si="0"/>
        <v/>
      </c>
    </row>
    <row r="42" spans="1:7">
      <c r="A42" s="98"/>
      <c r="B42" s="52"/>
      <c r="C42" s="52"/>
      <c r="D42" s="53"/>
      <c r="E42" s="53"/>
      <c r="F42" s="100"/>
      <c r="G42" s="58" t="str">
        <f t="shared" si="0"/>
        <v/>
      </c>
    </row>
    <row r="43" spans="1:7">
      <c r="A43" s="98"/>
      <c r="B43" s="52"/>
      <c r="C43" s="52"/>
      <c r="D43" s="53"/>
      <c r="E43" s="53"/>
      <c r="F43" s="100"/>
      <c r="G43" s="58" t="str">
        <f t="shared" si="0"/>
        <v/>
      </c>
    </row>
    <row r="44" spans="1:7">
      <c r="A44" s="98"/>
      <c r="B44" s="52"/>
      <c r="C44" s="52"/>
      <c r="D44" s="53"/>
      <c r="E44" s="53"/>
      <c r="F44" s="100"/>
      <c r="G44" s="58" t="str">
        <f t="shared" si="0"/>
        <v/>
      </c>
    </row>
    <row r="45" spans="1:7">
      <c r="A45" s="98"/>
      <c r="B45" s="52"/>
      <c r="C45" s="52"/>
      <c r="D45" s="53"/>
      <c r="E45" s="53"/>
      <c r="F45" s="100"/>
      <c r="G45" s="58" t="str">
        <f t="shared" si="0"/>
        <v/>
      </c>
    </row>
    <row r="46" spans="1:7">
      <c r="A46" s="98"/>
      <c r="B46" s="52"/>
      <c r="C46" s="52"/>
      <c r="D46" s="53"/>
      <c r="E46" s="53"/>
      <c r="F46" s="100"/>
      <c r="G46" s="58" t="str">
        <f t="shared" si="0"/>
        <v/>
      </c>
    </row>
    <row r="47" spans="1:7">
      <c r="A47" s="98"/>
      <c r="B47" s="52"/>
      <c r="C47" s="52"/>
      <c r="D47" s="53"/>
      <c r="E47" s="53"/>
      <c r="F47" s="100"/>
      <c r="G47" s="58" t="str">
        <f t="shared" si="0"/>
        <v/>
      </c>
    </row>
    <row r="48" spans="1:7">
      <c r="A48" s="98"/>
      <c r="B48" s="52"/>
      <c r="C48" s="52"/>
      <c r="D48" s="53"/>
      <c r="E48" s="53"/>
      <c r="F48" s="100"/>
      <c r="G48" s="58" t="str">
        <f t="shared" si="0"/>
        <v/>
      </c>
    </row>
    <row r="49" spans="1:7">
      <c r="A49" s="98"/>
      <c r="B49" s="52"/>
      <c r="C49" s="52"/>
      <c r="D49" s="99"/>
      <c r="E49" s="53"/>
      <c r="F49" s="100"/>
      <c r="G49" s="58" t="str">
        <f t="shared" si="0"/>
        <v/>
      </c>
    </row>
    <row r="50" spans="1:7">
      <c r="A50" s="98"/>
      <c r="B50" s="52"/>
      <c r="C50" s="52"/>
      <c r="D50" s="99"/>
      <c r="E50" s="53"/>
      <c r="F50" s="100"/>
      <c r="G50" s="58" t="str">
        <f t="shared" si="0"/>
        <v/>
      </c>
    </row>
    <row r="51" spans="1:7">
      <c r="A51" s="98"/>
      <c r="B51" s="52"/>
      <c r="C51" s="52"/>
      <c r="D51" s="53"/>
      <c r="E51" s="53"/>
      <c r="F51" s="100"/>
      <c r="G51" s="58" t="str">
        <f t="shared" si="0"/>
        <v/>
      </c>
    </row>
    <row r="52" spans="1:7">
      <c r="A52" s="98"/>
      <c r="B52" s="52"/>
      <c r="C52" s="52"/>
      <c r="D52" s="53"/>
      <c r="E52" s="53"/>
      <c r="F52" s="58"/>
      <c r="G52" s="58" t="str">
        <f t="shared" si="0"/>
        <v/>
      </c>
    </row>
    <row r="53" spans="1:7" s="30" customFormat="1">
      <c r="A53" s="70" t="s">
        <v>17</v>
      </c>
      <c r="B53" s="15" t="s">
        <v>20</v>
      </c>
      <c r="C53" s="71" t="s">
        <v>12</v>
      </c>
      <c r="D53" s="15" t="s">
        <v>13</v>
      </c>
      <c r="E53" s="180" t="s">
        <v>14</v>
      </c>
      <c r="F53" s="180"/>
      <c r="G53" s="72" t="s">
        <v>15</v>
      </c>
    </row>
    <row r="54" spans="1:7" ht="14.25" customHeight="1">
      <c r="A54" s="188">
        <f>SUM(cotizador[IMPORTE], cotizador2[IMPORTE], cotizador3[IMPORTE])</f>
        <v>0</v>
      </c>
      <c r="B54" s="189"/>
      <c r="C54" s="48"/>
      <c r="D54" s="49">
        <f>(
  SUMIF(cotizador[[#All],[IVA %]],10.5%,cotizador[[#All],[IMPORTE]]) +
  SUMIF(cotizador2[[#All],[IVA %]],10.5%,cotizador2[[#All],[IMPORTE]]) +
  SUMIF(cotizador3[[#All],[IVA %]],10.5%,cotizador3[[#All],[IMPORTE]])
) * 10.5%</f>
        <v>0</v>
      </c>
      <c r="E54" s="190">
        <f>(
  SUMIF(cotizador[[#All],[IVA %]],21%,cotizador[[#All],[IMPORTE]]) +
  SUMIF(cotizador2[[#All],[IVA %]],21%,cotizador2[[#All],[IMPORTE]]) +
  SUMIF(cotizador3[[#All],[IVA %]],21%,cotizador3[[#All],[IMPORTE]])
) * 21%</f>
        <v>0</v>
      </c>
      <c r="F54" s="190"/>
      <c r="G54" s="50">
        <f>SUM(A54+D54+E54)</f>
        <v>0</v>
      </c>
    </row>
    <row r="55" spans="1:7">
      <c r="A55" s="55"/>
      <c r="B55" s="16"/>
      <c r="C55" s="25"/>
      <c r="D55" s="16"/>
      <c r="E55" s="47"/>
      <c r="F55" s="31"/>
      <c r="G55" s="8"/>
    </row>
    <row r="56" spans="1:7"/>
    <row r="57" spans="1:7"/>
    <row r="58" spans="1:7"/>
    <row r="59" spans="1:7"/>
    <row r="60" spans="1:7"/>
    <row r="61" spans="1:7"/>
    <row r="62" spans="1:7"/>
    <row r="63" spans="1:7"/>
    <row r="64" spans="1:7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</sheetData>
  <sheetProtection formatCells="0" formatColumns="0" selectLockedCells="1" selectUnlockedCells="1"/>
  <dataConsolidate/>
  <mergeCells count="11">
    <mergeCell ref="B15:C15"/>
    <mergeCell ref="B16:C16"/>
    <mergeCell ref="E53:F53"/>
    <mergeCell ref="A54:B54"/>
    <mergeCell ref="E54:F54"/>
    <mergeCell ref="B14:C14"/>
    <mergeCell ref="F6:G6"/>
    <mergeCell ref="B12:C12"/>
    <mergeCell ref="F12:G12"/>
    <mergeCell ref="B13:C13"/>
    <mergeCell ref="F13:G13"/>
  </mergeCells>
  <dataValidations count="2">
    <dataValidation type="list" allowBlank="1" showInputMessage="1" showErrorMessage="1" sqref="D34:D52" xr:uid="{5C0BCF80-B3B5-444B-9D4F-90E6012C9266}">
      <formula1>"0,0,10,0,15,0,20"</formula1>
    </dataValidation>
    <dataValidation type="list" allowBlank="1" showInputMessage="1" showErrorMessage="1" sqref="E13" xr:uid="{5DCE7B20-D55F-43D4-8D71-02C4141B1C27}">
      <formula1>"CUIT:,CUIL:,DNI:,DNICF:"</formula1>
    </dataValidation>
  </dataValidations>
  <pageMargins left="0" right="0" top="0" bottom="0" header="0" footer="0"/>
  <pageSetup paperSize="9" scale="90" pageOrder="overThenDown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6A30EB-8256-441F-B353-718ABB13999C}">
          <x14:formula1>
            <xm:f>'Clientes'!$A$4:$A$2878</xm:f>
          </x14:formula1>
          <xm:sqref>F12:G12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974C5-1CD7-4A7A-BBB1-26DF98BCF2B6}">
  <sheetPr codeName="Hoja10">
    <pageSetUpPr fitToPage="1"/>
  </sheetPr>
  <dimension ref="A1:P58"/>
  <sheetViews>
    <sheetView tabSelected="1" zoomScaleNormal="100" workbookViewId="0">
      <selection activeCell="F32" sqref="F32"/>
    </sheetView>
  </sheetViews>
  <sheetFormatPr baseColWidth="10" defaultColWidth="11.42578125" defaultRowHeight="15"/>
  <cols>
    <col min="1" max="1" width="10" customWidth="1"/>
    <col min="2" max="2" width="14" customWidth="1"/>
    <col min="3" max="3" width="35.28515625" style="29" customWidth="1"/>
    <col min="4" max="4" width="12.28515625" customWidth="1"/>
    <col min="5" max="5" width="12" style="46" customWidth="1"/>
    <col min="6" max="6" width="17.28515625" style="37" customWidth="1"/>
    <col min="7" max="7" width="18.140625" style="19" customWidth="1"/>
    <col min="9" max="9" width="12.5703125" bestFit="1" customWidth="1"/>
    <col min="10" max="10" width="12.85546875" bestFit="1" customWidth="1"/>
    <col min="11" max="11" width="11.7109375" bestFit="1" customWidth="1"/>
    <col min="13" max="14" width="11.42578125" customWidth="1"/>
  </cols>
  <sheetData>
    <row r="1" spans="1:16" ht="15" customHeight="1">
      <c r="A1" s="2"/>
      <c r="B1" s="2"/>
      <c r="C1" s="5"/>
      <c r="D1" s="191" t="s">
        <v>91</v>
      </c>
      <c r="E1" s="38"/>
      <c r="F1" s="34"/>
      <c r="G1" s="4"/>
    </row>
    <row r="2" spans="1:16" ht="15" customHeight="1">
      <c r="A2" s="2"/>
      <c r="B2" s="2"/>
      <c r="C2" s="5"/>
      <c r="D2" s="191"/>
      <c r="E2" s="39"/>
      <c r="F2" s="35"/>
      <c r="G2" s="4"/>
    </row>
    <row r="3" spans="1:16" ht="15" customHeight="1">
      <c r="A3" s="2"/>
      <c r="B3" s="2"/>
      <c r="C3" s="5"/>
      <c r="D3" s="191"/>
      <c r="E3" s="38"/>
      <c r="F3" s="35" t="s">
        <v>56</v>
      </c>
      <c r="G3" s="73"/>
    </row>
    <row r="4" spans="1:16" ht="15" customHeight="1">
      <c r="A4" s="2"/>
      <c r="B4" s="2"/>
      <c r="C4" s="5"/>
      <c r="D4" s="191"/>
      <c r="E4" s="38"/>
      <c r="F4" s="35" t="s">
        <v>18</v>
      </c>
      <c r="G4" s="86"/>
    </row>
    <row r="5" spans="1:16" ht="15" customHeight="1">
      <c r="A5" s="2"/>
      <c r="B5" s="2"/>
      <c r="C5" s="5"/>
      <c r="D5" s="85" t="s">
        <v>92</v>
      </c>
      <c r="E5" s="38"/>
      <c r="F5" s="35" t="s">
        <v>61</v>
      </c>
      <c r="G5" s="73"/>
    </row>
    <row r="6" spans="1:16">
      <c r="A6" s="2"/>
      <c r="B6" s="2"/>
      <c r="C6" s="5"/>
      <c r="E6" s="38"/>
      <c r="F6" s="73"/>
      <c r="G6" s="2"/>
    </row>
    <row r="7" spans="1:16">
      <c r="A7" s="165"/>
      <c r="B7" s="165"/>
      <c r="C7" s="5"/>
      <c r="D7" s="6"/>
      <c r="E7" s="40" t="s">
        <v>62</v>
      </c>
      <c r="F7" s="168"/>
      <c r="G7" s="8"/>
    </row>
    <row r="8" spans="1:16">
      <c r="A8" s="6" t="s">
        <v>1</v>
      </c>
      <c r="B8" s="8"/>
      <c r="C8" s="25"/>
      <c r="D8" s="9"/>
      <c r="E8" s="40" t="s">
        <v>85</v>
      </c>
      <c r="F8" s="168"/>
      <c r="G8" s="20"/>
    </row>
    <row r="9" spans="1:16">
      <c r="A9" s="6" t="s">
        <v>82</v>
      </c>
      <c r="B9" s="7"/>
      <c r="C9" s="25"/>
      <c r="D9" s="9"/>
      <c r="E9" s="40" t="s">
        <v>86</v>
      </c>
      <c r="F9" s="168"/>
      <c r="G9" s="20"/>
    </row>
    <row r="10" spans="1:16">
      <c r="A10" s="6" t="s">
        <v>83</v>
      </c>
      <c r="B10" s="7"/>
      <c r="C10" s="25"/>
      <c r="D10" s="9"/>
      <c r="E10" s="40" t="s">
        <v>87</v>
      </c>
      <c r="F10" s="168"/>
      <c r="G10" s="20"/>
    </row>
    <row r="11" spans="1:16" ht="15.75" thickBot="1">
      <c r="A11" s="10" t="s">
        <v>84</v>
      </c>
      <c r="B11" s="10"/>
      <c r="C11" s="26"/>
      <c r="D11" s="11"/>
      <c r="E11" s="41" t="s">
        <v>88</v>
      </c>
      <c r="F11" s="36"/>
      <c r="G11" s="21"/>
    </row>
    <row r="12" spans="1:16">
      <c r="A12" s="55" t="s">
        <v>0</v>
      </c>
      <c r="B12" s="181" t="s">
        <v>32</v>
      </c>
      <c r="C12" s="182"/>
      <c r="D12" s="12"/>
      <c r="E12" s="42" t="s">
        <v>16</v>
      </c>
      <c r="F12" s="185">
        <v>1000</v>
      </c>
      <c r="G12" s="185"/>
    </row>
    <row r="13" spans="1:16">
      <c r="A13" s="55" t="s">
        <v>1</v>
      </c>
      <c r="B13" s="183" t="s">
        <v>8</v>
      </c>
      <c r="C13" s="184"/>
      <c r="D13" s="12"/>
      <c r="E13" s="42" t="s">
        <v>62</v>
      </c>
      <c r="F13" s="186" t="s">
        <v>8</v>
      </c>
      <c r="G13" s="187"/>
      <c r="O13" s="169"/>
      <c r="P13" s="169"/>
    </row>
    <row r="14" spans="1:16">
      <c r="A14" s="55"/>
      <c r="B14" s="176" t="s">
        <v>8</v>
      </c>
      <c r="C14" s="177"/>
      <c r="D14" s="12"/>
      <c r="E14" s="42" t="s">
        <v>2</v>
      </c>
      <c r="F14" s="31"/>
      <c r="G14" s="59" t="str">
        <f>VLOOKUP(F12,'Clientes'!A3:J5,8,0)</f>
        <v>Contado</v>
      </c>
    </row>
    <row r="15" spans="1:16">
      <c r="A15" s="55"/>
      <c r="B15" s="176" t="s">
        <v>8</v>
      </c>
      <c r="C15" s="177"/>
      <c r="D15" s="12"/>
      <c r="E15" s="42" t="s">
        <v>3</v>
      </c>
      <c r="F15" s="31"/>
      <c r="G15" s="108"/>
    </row>
    <row r="16" spans="1:16">
      <c r="A16" s="56" t="s">
        <v>4</v>
      </c>
      <c r="B16" s="178" t="s">
        <v>30</v>
      </c>
      <c r="C16" s="179"/>
      <c r="D16" s="14"/>
      <c r="E16" s="43" t="s">
        <v>71</v>
      </c>
      <c r="F16" s="195"/>
      <c r="G16" s="195"/>
    </row>
    <row r="17" spans="1:12">
      <c r="A17" s="56"/>
      <c r="B17" s="15"/>
      <c r="C17" s="27"/>
      <c r="D17" s="15"/>
      <c r="E17" s="44"/>
      <c r="F17" s="31"/>
      <c r="G17" s="13"/>
      <c r="I17" s="196" t="s">
        <v>78</v>
      </c>
      <c r="J17" s="196"/>
      <c r="K17" s="196"/>
      <c r="L17" s="196"/>
    </row>
    <row r="18" spans="1:12">
      <c r="A18" s="57" t="s">
        <v>5</v>
      </c>
      <c r="B18" s="22" t="s">
        <v>6</v>
      </c>
      <c r="C18" s="28" t="s">
        <v>7</v>
      </c>
      <c r="D18" s="23" t="s">
        <v>8</v>
      </c>
      <c r="E18" s="45" t="s">
        <v>9</v>
      </c>
      <c r="F18" s="33" t="s">
        <v>10</v>
      </c>
      <c r="G18" s="24" t="s">
        <v>11</v>
      </c>
      <c r="I18" s="120" t="s">
        <v>80</v>
      </c>
      <c r="J18" s="120" t="s">
        <v>75</v>
      </c>
      <c r="K18" s="120" t="s">
        <v>76</v>
      </c>
      <c r="L18" s="120" t="s">
        <v>77</v>
      </c>
    </row>
    <row r="19" spans="1:12" ht="15" customHeight="1">
      <c r="A19" s="83"/>
      <c r="B19" s="105"/>
      <c r="C19" s="93"/>
      <c r="D19" s="132"/>
      <c r="E19" s="145"/>
      <c r="F19" s="135"/>
      <c r="G19" s="136"/>
      <c r="I19" s="147"/>
      <c r="J19" s="139"/>
      <c r="K19" s="139"/>
      <c r="L19" s="139"/>
    </row>
    <row r="20" spans="1:12" ht="15" customHeight="1">
      <c r="A20" s="83"/>
      <c r="B20" s="105"/>
      <c r="C20" s="93"/>
      <c r="D20" s="132"/>
      <c r="E20" s="145"/>
      <c r="F20" s="135"/>
      <c r="G20" s="136"/>
      <c r="I20" s="147"/>
      <c r="J20" s="139"/>
      <c r="K20" s="139"/>
      <c r="L20" s="139"/>
    </row>
    <row r="21" spans="1:12" ht="15" customHeight="1">
      <c r="A21" s="83"/>
      <c r="B21" s="105"/>
      <c r="C21" s="93"/>
      <c r="D21" s="133"/>
      <c r="E21" s="145"/>
      <c r="F21" s="135"/>
      <c r="G21" s="136"/>
      <c r="I21" s="147"/>
      <c r="J21" s="139"/>
      <c r="K21" s="139"/>
      <c r="L21" s="139"/>
    </row>
    <row r="22" spans="1:12" ht="15" customHeight="1">
      <c r="A22" s="83"/>
      <c r="B22" s="105"/>
      <c r="C22" s="93"/>
      <c r="D22" s="133"/>
      <c r="E22" s="145"/>
      <c r="F22" s="135"/>
      <c r="G22" s="136"/>
      <c r="I22" s="147"/>
      <c r="J22" s="139"/>
      <c r="K22" s="139"/>
      <c r="L22" s="139"/>
    </row>
    <row r="23" spans="1:12" ht="15" customHeight="1">
      <c r="A23" s="83"/>
      <c r="B23" s="105"/>
      <c r="C23" s="93"/>
      <c r="D23" s="133"/>
      <c r="E23" s="145"/>
      <c r="F23" s="135"/>
      <c r="G23" s="136"/>
      <c r="I23" s="147"/>
      <c r="J23" s="139"/>
      <c r="K23" s="139"/>
      <c r="L23" s="139"/>
    </row>
    <row r="24" spans="1:12" ht="15" customHeight="1">
      <c r="A24" s="83"/>
      <c r="B24" s="109"/>
      <c r="C24" s="79"/>
      <c r="D24" s="133"/>
      <c r="E24" s="145"/>
      <c r="F24" s="135"/>
      <c r="G24" s="136"/>
      <c r="I24" s="147"/>
      <c r="J24" s="139"/>
      <c r="K24" s="139"/>
      <c r="L24" s="139"/>
    </row>
    <row r="25" spans="1:12" ht="15" customHeight="1">
      <c r="A25" s="81"/>
      <c r="B25" s="79"/>
      <c r="C25" s="106"/>
      <c r="D25" s="127"/>
      <c r="E25" s="145"/>
      <c r="F25" s="137"/>
      <c r="G25" s="136"/>
      <c r="I25" s="147"/>
      <c r="J25" s="139"/>
      <c r="K25" s="139"/>
      <c r="L25" s="139"/>
    </row>
    <row r="26" spans="1:12" ht="15" customHeight="1">
      <c r="A26" s="81"/>
      <c r="B26" s="79"/>
      <c r="C26" s="106"/>
      <c r="D26" s="127"/>
      <c r="E26" s="145"/>
      <c r="F26" s="137"/>
      <c r="G26" s="136"/>
      <c r="I26" s="147"/>
      <c r="J26" s="139"/>
      <c r="K26" s="139"/>
      <c r="L26" s="139"/>
    </row>
    <row r="27" spans="1:12" ht="15" customHeight="1">
      <c r="A27" s="81"/>
      <c r="B27" s="79"/>
      <c r="C27" s="106"/>
      <c r="D27" s="127"/>
      <c r="E27" s="145"/>
      <c r="F27" s="137"/>
      <c r="G27" s="136"/>
      <c r="I27" s="147"/>
      <c r="J27" s="139"/>
      <c r="K27" s="139"/>
      <c r="L27" s="139"/>
    </row>
    <row r="28" spans="1:12" ht="15" customHeight="1">
      <c r="A28" s="81"/>
      <c r="B28" s="79"/>
      <c r="C28" s="106"/>
      <c r="D28" s="127"/>
      <c r="E28" s="145"/>
      <c r="F28" s="137"/>
      <c r="G28" s="136"/>
      <c r="I28" s="147"/>
      <c r="J28" s="139"/>
      <c r="K28" s="139"/>
      <c r="L28" s="139"/>
    </row>
    <row r="29" spans="1:12" ht="15" customHeight="1">
      <c r="A29" s="81"/>
      <c r="B29" s="79"/>
      <c r="C29" s="106"/>
      <c r="D29" s="127"/>
      <c r="E29" s="145"/>
      <c r="F29" s="137"/>
      <c r="G29" s="136"/>
      <c r="I29" s="147"/>
      <c r="J29" s="139"/>
      <c r="K29" s="139"/>
      <c r="L29" s="139"/>
    </row>
    <row r="30" spans="1:12" ht="15" customHeight="1">
      <c r="A30" s="81"/>
      <c r="B30" s="79"/>
      <c r="C30" s="106"/>
      <c r="D30" s="127"/>
      <c r="E30" s="115"/>
      <c r="F30" s="137"/>
      <c r="G30" s="136"/>
      <c r="I30" s="147"/>
      <c r="J30" s="118"/>
      <c r="K30" s="118"/>
      <c r="L30" s="118"/>
    </row>
    <row r="31" spans="1:12" ht="15" customHeight="1">
      <c r="A31" s="81"/>
      <c r="B31" s="79"/>
      <c r="C31" s="106"/>
      <c r="D31" s="127"/>
      <c r="E31" s="115"/>
      <c r="F31" s="137"/>
      <c r="G31" s="136"/>
      <c r="I31" s="147"/>
      <c r="J31" s="118"/>
      <c r="K31" s="118"/>
      <c r="L31" s="118"/>
    </row>
    <row r="32" spans="1:12" ht="15" customHeight="1">
      <c r="A32" s="81"/>
      <c r="B32" s="79"/>
      <c r="C32" s="106"/>
      <c r="D32" s="127"/>
      <c r="E32" s="115"/>
      <c r="F32" s="137"/>
      <c r="G32" s="136"/>
      <c r="I32" s="147"/>
      <c r="J32" s="118"/>
      <c r="K32" s="118"/>
      <c r="L32" s="118"/>
    </row>
    <row r="33" spans="1:12" ht="15" customHeight="1">
      <c r="A33" s="81"/>
      <c r="B33" s="79"/>
      <c r="C33" s="106"/>
      <c r="D33" s="127"/>
      <c r="E33" s="115"/>
      <c r="F33" s="137"/>
      <c r="G33" s="136"/>
      <c r="I33" s="147"/>
      <c r="J33" s="118"/>
      <c r="K33" s="118"/>
      <c r="L33" s="118"/>
    </row>
    <row r="34" spans="1:12" ht="15" customHeight="1">
      <c r="A34" s="81"/>
      <c r="B34" s="79"/>
      <c r="C34" s="106"/>
      <c r="D34" s="127"/>
      <c r="E34" s="115"/>
      <c r="F34" s="137"/>
      <c r="G34" s="136"/>
      <c r="I34" s="147"/>
      <c r="J34" s="118"/>
      <c r="K34" s="118"/>
      <c r="L34" s="118"/>
    </row>
    <row r="35" spans="1:12" ht="15" customHeight="1">
      <c r="A35" s="81"/>
      <c r="B35" s="79"/>
      <c r="C35" s="106"/>
      <c r="D35" s="128"/>
      <c r="E35" s="115"/>
      <c r="F35" s="137"/>
      <c r="G35" s="136"/>
      <c r="I35" s="147"/>
      <c r="J35" s="118"/>
      <c r="K35" s="118"/>
      <c r="L35" s="118"/>
    </row>
    <row r="36" spans="1:12">
      <c r="A36" s="54"/>
      <c r="B36" s="51"/>
      <c r="C36" s="52"/>
      <c r="D36" s="129"/>
      <c r="E36" s="116"/>
      <c r="F36" s="137"/>
      <c r="G36" s="136"/>
      <c r="I36" s="147"/>
      <c r="J36" s="118"/>
      <c r="K36" s="118"/>
      <c r="L36" s="118"/>
    </row>
    <row r="37" spans="1:12">
      <c r="A37" s="54"/>
      <c r="B37" s="51"/>
      <c r="C37" s="52"/>
      <c r="D37" s="129"/>
      <c r="E37" s="116"/>
      <c r="F37" s="137"/>
      <c r="G37" s="136"/>
      <c r="I37" s="147"/>
      <c r="J37" s="118"/>
      <c r="K37" s="118"/>
      <c r="L37" s="118"/>
    </row>
    <row r="38" spans="1:12">
      <c r="A38" s="54"/>
      <c r="B38" s="51"/>
      <c r="C38" s="52"/>
      <c r="D38" s="129"/>
      <c r="E38" s="116"/>
      <c r="F38" s="137"/>
      <c r="G38" s="136"/>
      <c r="I38" s="147"/>
      <c r="J38" s="118"/>
      <c r="K38" s="118"/>
      <c r="L38" s="118"/>
    </row>
    <row r="39" spans="1:12">
      <c r="A39" s="54"/>
      <c r="B39" s="51"/>
      <c r="C39" s="52"/>
      <c r="D39" s="129"/>
      <c r="E39" s="116"/>
      <c r="F39" s="137"/>
      <c r="G39" s="136"/>
      <c r="I39" s="147"/>
      <c r="J39" s="118"/>
      <c r="K39" s="118"/>
      <c r="L39" s="118"/>
    </row>
    <row r="40" spans="1:12">
      <c r="A40" s="54"/>
      <c r="B40" s="51"/>
      <c r="C40" s="52"/>
      <c r="D40" s="53"/>
      <c r="E40" s="116"/>
      <c r="F40" s="137"/>
      <c r="G40" s="136"/>
      <c r="I40" s="147"/>
      <c r="J40" s="118"/>
      <c r="K40" s="118"/>
      <c r="L40" s="118"/>
    </row>
    <row r="41" spans="1:12">
      <c r="A41" s="54"/>
      <c r="B41" s="51"/>
      <c r="C41" s="52"/>
      <c r="D41" s="53"/>
      <c r="E41" s="116"/>
      <c r="F41" s="137"/>
      <c r="G41" s="136"/>
      <c r="I41" s="147"/>
      <c r="J41" s="118"/>
      <c r="K41" s="118"/>
      <c r="L41" s="118"/>
    </row>
    <row r="42" spans="1:12">
      <c r="A42" s="54"/>
      <c r="B42" s="51"/>
      <c r="C42" s="52"/>
      <c r="D42" s="53"/>
      <c r="E42" s="116"/>
      <c r="F42" s="137"/>
      <c r="G42" s="136"/>
      <c r="I42" s="147"/>
      <c r="J42" s="118"/>
      <c r="K42" s="118"/>
      <c r="L42" s="118"/>
    </row>
    <row r="43" spans="1:12">
      <c r="A43" s="54"/>
      <c r="B43" s="51"/>
      <c r="C43" s="52"/>
      <c r="D43" s="53"/>
      <c r="E43" s="116"/>
      <c r="F43" s="137"/>
      <c r="G43" s="136"/>
      <c r="I43" s="147"/>
      <c r="J43" s="118"/>
      <c r="K43" s="118"/>
      <c r="L43" s="118"/>
    </row>
    <row r="44" spans="1:12">
      <c r="A44" s="54"/>
      <c r="B44" s="51"/>
      <c r="C44" s="52"/>
      <c r="D44" s="53"/>
      <c r="E44" s="116"/>
      <c r="F44" s="137"/>
      <c r="G44" s="136"/>
      <c r="I44" s="147"/>
      <c r="J44" s="118"/>
      <c r="K44" s="118"/>
      <c r="L44" s="118"/>
    </row>
    <row r="45" spans="1:12">
      <c r="A45" s="54"/>
      <c r="B45" s="51"/>
      <c r="C45" s="52"/>
      <c r="D45" s="53"/>
      <c r="E45" s="116"/>
      <c r="F45" s="137"/>
      <c r="G45" s="136"/>
      <c r="I45" s="147"/>
      <c r="J45" s="118"/>
      <c r="K45" s="118"/>
      <c r="L45" s="118"/>
    </row>
    <row r="46" spans="1:12">
      <c r="A46" s="54"/>
      <c r="B46" s="51"/>
      <c r="C46" s="52"/>
      <c r="D46" s="53"/>
      <c r="E46" s="116"/>
      <c r="F46" s="137"/>
      <c r="G46" s="136"/>
      <c r="I46" s="147"/>
      <c r="J46" s="118"/>
      <c r="K46" s="118"/>
      <c r="L46" s="118"/>
    </row>
    <row r="47" spans="1:12">
      <c r="A47" s="54"/>
      <c r="B47" s="51"/>
      <c r="C47" s="52"/>
      <c r="D47" s="53"/>
      <c r="E47" s="116"/>
      <c r="F47" s="137"/>
      <c r="G47" s="136"/>
      <c r="I47" s="147"/>
      <c r="J47" s="118"/>
      <c r="K47" s="118"/>
      <c r="L47" s="118"/>
    </row>
    <row r="48" spans="1:12">
      <c r="A48" s="54"/>
      <c r="B48" s="51"/>
      <c r="C48" s="52"/>
      <c r="D48" s="53"/>
      <c r="E48" s="116"/>
      <c r="F48" s="137"/>
      <c r="G48" s="136"/>
      <c r="I48" s="147"/>
      <c r="J48" s="118"/>
      <c r="K48" s="118"/>
      <c r="L48" s="118"/>
    </row>
    <row r="49" spans="1:14">
      <c r="A49" s="54"/>
      <c r="B49" s="52"/>
      <c r="C49" s="52"/>
      <c r="D49" s="53"/>
      <c r="E49" s="117"/>
      <c r="F49" s="137"/>
      <c r="G49" s="136"/>
      <c r="I49" s="147"/>
      <c r="J49" s="118"/>
      <c r="K49" s="118"/>
      <c r="L49" s="118"/>
    </row>
    <row r="50" spans="1:14">
      <c r="A50" s="54"/>
      <c r="B50" s="52"/>
      <c r="C50" s="52"/>
      <c r="D50" s="53"/>
      <c r="E50" s="117"/>
      <c r="F50" s="137"/>
      <c r="G50" s="136"/>
      <c r="I50" s="147"/>
      <c r="J50" s="118"/>
      <c r="K50" s="118"/>
      <c r="L50" s="118"/>
    </row>
    <row r="51" spans="1:14">
      <c r="A51" s="62"/>
      <c r="B51" s="52"/>
      <c r="C51" s="52"/>
      <c r="D51" s="53"/>
      <c r="E51" s="117"/>
      <c r="F51" s="137"/>
      <c r="G51" s="136"/>
      <c r="I51" s="147"/>
      <c r="J51" s="118"/>
      <c r="K51" s="118"/>
      <c r="L51" s="118"/>
    </row>
    <row r="52" spans="1:14">
      <c r="A52" s="122"/>
      <c r="B52" s="52"/>
      <c r="C52" s="52"/>
      <c r="D52" s="53"/>
      <c r="E52" s="117"/>
      <c r="F52" s="58"/>
      <c r="G52" s="126"/>
    </row>
    <row r="53" spans="1:14">
      <c r="A53" s="121" t="s">
        <v>17</v>
      </c>
      <c r="B53" s="123" t="s">
        <v>20</v>
      </c>
      <c r="C53" s="124" t="s">
        <v>12</v>
      </c>
      <c r="D53" s="156" t="s">
        <v>13</v>
      </c>
      <c r="E53" s="197" t="s">
        <v>14</v>
      </c>
      <c r="F53" s="197"/>
      <c r="G53" s="125" t="s">
        <v>15</v>
      </c>
    </row>
    <row r="54" spans="1:14">
      <c r="A54" s="192"/>
      <c r="B54" s="193"/>
      <c r="C54" s="146"/>
      <c r="D54" s="159"/>
      <c r="E54" s="194"/>
      <c r="F54" s="194"/>
      <c r="G54" s="144"/>
    </row>
    <row r="55" spans="1:14">
      <c r="A55" s="55"/>
      <c r="B55" s="16"/>
      <c r="C55" s="25"/>
      <c r="D55" s="16"/>
      <c r="E55" s="47"/>
      <c r="F55" s="31"/>
      <c r="G55" s="8"/>
      <c r="N55" s="84"/>
    </row>
    <row r="56" spans="1:14">
      <c r="E56" s="77" t="s">
        <v>54</v>
      </c>
      <c r="F56" s="130"/>
    </row>
    <row r="57" spans="1:14">
      <c r="E57" s="77" t="s">
        <v>55</v>
      </c>
      <c r="F57" s="131"/>
    </row>
    <row r="58" spans="1:14">
      <c r="G58" s="134"/>
      <c r="I58" s="76"/>
    </row>
  </sheetData>
  <mergeCells count="13">
    <mergeCell ref="I17:L17"/>
    <mergeCell ref="F12:G12"/>
    <mergeCell ref="B13:C13"/>
    <mergeCell ref="F13:G13"/>
    <mergeCell ref="E53:F53"/>
    <mergeCell ref="D1:D4"/>
    <mergeCell ref="B14:C14"/>
    <mergeCell ref="B12:C12"/>
    <mergeCell ref="A54:B54"/>
    <mergeCell ref="E54:F54"/>
    <mergeCell ref="F16:G16"/>
    <mergeCell ref="B15:C15"/>
    <mergeCell ref="B16:C16"/>
  </mergeCells>
  <dataValidations count="1">
    <dataValidation type="list" allowBlank="1" showInputMessage="1" showErrorMessage="1" sqref="E13" xr:uid="{6B1F37B4-DE4F-4EF3-97B7-251B3F9FC823}">
      <formula1>"CUIT:,CUIL:,DNI:,DNICF:"</formula1>
    </dataValidation>
  </dataValidations>
  <pageMargins left="0" right="0" top="0" bottom="0" header="0" footer="0"/>
  <pageSetup paperSize="9" scale="88"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GenerarFactura">
                <anchor moveWithCells="1" sizeWithCells="1">
                  <from>
                    <xdr:col>8</xdr:col>
                    <xdr:colOff>0</xdr:colOff>
                    <xdr:row>1</xdr:row>
                    <xdr:rowOff>161925</xdr:rowOff>
                  </from>
                  <to>
                    <xdr:col>10</xdr:col>
                    <xdr:colOff>9525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NuevaFactura">
                <anchor moveWithCells="1" sizeWithCells="1">
                  <from>
                    <xdr:col>7</xdr:col>
                    <xdr:colOff>752475</xdr:colOff>
                    <xdr:row>4</xdr:row>
                    <xdr:rowOff>38100</xdr:rowOff>
                  </from>
                  <to>
                    <xdr:col>10</xdr:col>
                    <xdr:colOff>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6" name="Button 9">
              <controlPr defaultSize="0" print="0" autoFill="0" autoPict="0" macro="[0]!CopiarFacturaANC">
                <anchor moveWithCells="1" sizeWithCells="1">
                  <from>
                    <xdr:col>8</xdr:col>
                    <xdr:colOff>9525</xdr:colOff>
                    <xdr:row>7</xdr:row>
                    <xdr:rowOff>9525</xdr:rowOff>
                  </from>
                  <to>
                    <xdr:col>10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5138BC-FF76-4D7A-852C-9F4A828C8A8A}">
          <x14:formula1>
            <xm:f>'Clientes'!$A$4:$A$2878</xm:f>
          </x14:formula1>
          <xm:sqref>F12:G12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19B95-359D-4E95-A589-F97058523536}">
  <sheetPr codeName="Hoja14">
    <pageSetUpPr fitToPage="1"/>
  </sheetPr>
  <dimension ref="A1:G55"/>
  <sheetViews>
    <sheetView workbookViewId="0">
      <selection activeCell="J17" sqref="J17"/>
    </sheetView>
  </sheetViews>
  <sheetFormatPr baseColWidth="10" defaultColWidth="11.42578125" defaultRowHeight="15"/>
  <cols>
    <col min="1" max="1" width="10" customWidth="1"/>
    <col min="2" max="2" width="14" customWidth="1"/>
    <col min="3" max="3" width="35.28515625" customWidth="1"/>
    <col min="4" max="4" width="12.28515625" customWidth="1"/>
    <col min="5" max="5" width="12" customWidth="1"/>
    <col min="6" max="6" width="14.5703125" customWidth="1"/>
    <col min="7" max="7" width="18.140625" customWidth="1"/>
  </cols>
  <sheetData>
    <row r="1" spans="1:7">
      <c r="A1" s="2"/>
      <c r="B1" s="2"/>
      <c r="C1" s="5"/>
      <c r="D1" s="2"/>
      <c r="E1" s="38"/>
      <c r="F1" s="34"/>
      <c r="G1" s="4"/>
    </row>
    <row r="2" spans="1:7" ht="14.45" customHeight="1">
      <c r="A2" s="2"/>
      <c r="B2" s="2"/>
      <c r="C2" s="5"/>
      <c r="D2" s="2"/>
      <c r="E2" s="39"/>
      <c r="F2" s="198" t="s">
        <v>89</v>
      </c>
      <c r="G2" s="198"/>
    </row>
    <row r="3" spans="1:7" ht="30" customHeight="1">
      <c r="A3" s="2"/>
      <c r="B3" s="2"/>
      <c r="C3" s="5"/>
      <c r="D3" s="2"/>
      <c r="E3" s="38"/>
      <c r="F3" s="198"/>
      <c r="G3" s="198"/>
    </row>
    <row r="4" spans="1:7" ht="14.45" customHeight="1">
      <c r="A4" s="2"/>
      <c r="B4" s="2"/>
      <c r="C4" s="5"/>
      <c r="D4" s="2"/>
      <c r="E4" s="38"/>
      <c r="F4" s="198"/>
      <c r="G4" s="198"/>
    </row>
    <row r="5" spans="1:7" ht="21.6" customHeight="1">
      <c r="A5" s="2"/>
      <c r="B5" s="2"/>
      <c r="C5" s="5"/>
      <c r="D5" s="2"/>
      <c r="E5" s="38"/>
      <c r="F5" s="198"/>
      <c r="G5" s="198"/>
    </row>
    <row r="6" spans="1:7">
      <c r="A6" s="2"/>
      <c r="B6" s="2"/>
      <c r="C6" s="5"/>
      <c r="D6" s="2"/>
      <c r="E6" s="38"/>
      <c r="F6" s="34"/>
      <c r="G6" s="4"/>
    </row>
    <row r="7" spans="1:7">
      <c r="A7" s="165"/>
      <c r="B7" s="165"/>
      <c r="C7" s="5"/>
      <c r="D7" s="6"/>
      <c r="E7" s="40" t="s">
        <v>62</v>
      </c>
      <c r="F7" s="168"/>
      <c r="G7" s="8"/>
    </row>
    <row r="8" spans="1:7">
      <c r="A8" s="6" t="s">
        <v>1</v>
      </c>
      <c r="B8" s="8"/>
      <c r="C8" s="25"/>
      <c r="D8" s="9"/>
      <c r="E8" s="40" t="s">
        <v>85</v>
      </c>
      <c r="F8" s="168"/>
      <c r="G8" s="20"/>
    </row>
    <row r="9" spans="1:7">
      <c r="A9" s="6" t="s">
        <v>82</v>
      </c>
      <c r="B9" s="7"/>
      <c r="C9" s="25"/>
      <c r="D9" s="9"/>
      <c r="E9" s="40" t="s">
        <v>86</v>
      </c>
      <c r="F9" s="168"/>
      <c r="G9" s="20"/>
    </row>
    <row r="10" spans="1:7">
      <c r="A10" s="6" t="s">
        <v>83</v>
      </c>
      <c r="B10" s="7"/>
      <c r="C10" s="25"/>
      <c r="D10" s="9"/>
      <c r="E10" s="40" t="s">
        <v>87</v>
      </c>
      <c r="F10" s="168"/>
      <c r="G10" s="20"/>
    </row>
    <row r="11" spans="1:7" ht="15.75" thickBot="1">
      <c r="A11" s="10" t="s">
        <v>84</v>
      </c>
      <c r="B11" s="10"/>
      <c r="C11" s="26"/>
      <c r="D11" s="11"/>
      <c r="E11" s="41" t="s">
        <v>88</v>
      </c>
      <c r="F11" s="36"/>
      <c r="G11" s="21"/>
    </row>
    <row r="12" spans="1:7" ht="15" customHeight="1">
      <c r="A12" s="55" t="s">
        <v>0</v>
      </c>
      <c r="B12" s="181" t="s">
        <v>32</v>
      </c>
      <c r="C12" s="182"/>
      <c r="D12" s="166"/>
      <c r="E12" s="42" t="s">
        <v>16</v>
      </c>
      <c r="F12" s="185">
        <v>1000</v>
      </c>
      <c r="G12" s="185"/>
    </row>
    <row r="13" spans="1:7">
      <c r="A13" s="55" t="s">
        <v>1</v>
      </c>
      <c r="B13" s="183" t="s">
        <v>8</v>
      </c>
      <c r="C13" s="184"/>
      <c r="D13" s="166"/>
      <c r="E13" s="42" t="s">
        <v>62</v>
      </c>
      <c r="F13" s="186" t="s">
        <v>8</v>
      </c>
      <c r="G13" s="187"/>
    </row>
    <row r="14" spans="1:7">
      <c r="A14" s="55"/>
      <c r="B14" s="176" t="s">
        <v>8</v>
      </c>
      <c r="C14" s="177"/>
      <c r="D14" s="166"/>
      <c r="E14" s="42" t="s">
        <v>2</v>
      </c>
      <c r="F14" s="168"/>
      <c r="G14" s="59" t="str">
        <f>VLOOKUP(F12,'Clientes'!A3:J5,8,0)</f>
        <v>Contado</v>
      </c>
    </row>
    <row r="15" spans="1:7">
      <c r="A15" s="55"/>
      <c r="B15" s="176" t="s">
        <v>8</v>
      </c>
      <c r="C15" s="177"/>
      <c r="D15" s="166"/>
      <c r="E15" s="42" t="s">
        <v>3</v>
      </c>
      <c r="F15" s="168"/>
      <c r="G15" s="108"/>
    </row>
    <row r="16" spans="1:7">
      <c r="A16" s="56" t="s">
        <v>4</v>
      </c>
      <c r="B16" s="178" t="s">
        <v>30</v>
      </c>
      <c r="C16" s="179"/>
      <c r="D16" s="167"/>
      <c r="E16" s="43" t="s">
        <v>71</v>
      </c>
      <c r="F16" s="195"/>
      <c r="G16" s="195"/>
    </row>
    <row r="17" spans="1:7">
      <c r="A17" s="56"/>
      <c r="B17" s="15"/>
      <c r="C17" s="27"/>
      <c r="D17" s="15"/>
      <c r="E17" s="44"/>
      <c r="F17" s="31"/>
      <c r="G17" s="13"/>
    </row>
    <row r="18" spans="1:7">
      <c r="A18" s="57" t="s">
        <v>5</v>
      </c>
      <c r="B18" s="22" t="s">
        <v>6</v>
      </c>
      <c r="C18" s="28" t="s">
        <v>7</v>
      </c>
      <c r="D18" s="23" t="s">
        <v>8</v>
      </c>
      <c r="E18" s="45" t="s">
        <v>63</v>
      </c>
      <c r="F18" s="33" t="s">
        <v>64</v>
      </c>
      <c r="G18" s="24" t="s">
        <v>65</v>
      </c>
    </row>
    <row r="19" spans="1:7" ht="15" customHeight="1">
      <c r="A19" s="83"/>
      <c r="B19" s="105"/>
      <c r="C19" s="52"/>
      <c r="D19" s="80"/>
      <c r="E19" s="110"/>
      <c r="F19" s="93"/>
      <c r="G19" s="113"/>
    </row>
    <row r="20" spans="1:7" ht="15" customHeight="1">
      <c r="A20" s="83"/>
      <c r="B20" s="105"/>
      <c r="C20" s="52"/>
      <c r="D20" s="80"/>
      <c r="E20" s="110"/>
      <c r="F20" s="93"/>
      <c r="G20" s="113"/>
    </row>
    <row r="21" spans="1:7" ht="15" customHeight="1">
      <c r="A21" s="83"/>
      <c r="B21" s="105"/>
      <c r="C21" s="52"/>
      <c r="D21" s="80"/>
      <c r="E21" s="110"/>
      <c r="F21" s="93"/>
      <c r="G21" s="113"/>
    </row>
    <row r="22" spans="1:7" ht="15" customHeight="1">
      <c r="A22" s="83"/>
      <c r="B22" s="105"/>
      <c r="C22" s="52"/>
      <c r="D22" s="80"/>
      <c r="E22" s="110"/>
      <c r="F22" s="93"/>
      <c r="G22" s="113"/>
    </row>
    <row r="23" spans="1:7" ht="15" customHeight="1">
      <c r="A23" s="83"/>
      <c r="B23" s="105"/>
      <c r="C23" s="52"/>
      <c r="D23" s="80"/>
      <c r="E23" s="110"/>
      <c r="F23" s="93"/>
      <c r="G23" s="113"/>
    </row>
    <row r="24" spans="1:7" ht="15" customHeight="1">
      <c r="A24" s="83"/>
      <c r="B24" s="105"/>
      <c r="C24" s="52"/>
      <c r="D24" s="80"/>
      <c r="E24" s="110"/>
      <c r="F24" s="93"/>
      <c r="G24" s="113"/>
    </row>
    <row r="25" spans="1:7" ht="15" customHeight="1">
      <c r="A25" s="83"/>
      <c r="B25" s="105"/>
      <c r="C25" s="52"/>
      <c r="D25" s="80"/>
      <c r="E25" s="110"/>
      <c r="F25" s="93"/>
      <c r="G25" s="113"/>
    </row>
    <row r="26" spans="1:7" ht="15" customHeight="1">
      <c r="A26" s="83"/>
      <c r="B26" s="105"/>
      <c r="C26" s="52"/>
      <c r="D26" s="80"/>
      <c r="E26" s="110"/>
      <c r="F26" s="93"/>
      <c r="G26" s="113"/>
    </row>
    <row r="27" spans="1:7" ht="15" customHeight="1">
      <c r="A27" s="83"/>
      <c r="B27" s="105"/>
      <c r="C27" s="52"/>
      <c r="D27" s="80"/>
      <c r="E27" s="110"/>
      <c r="F27" s="93"/>
      <c r="G27" s="113"/>
    </row>
    <row r="28" spans="1:7" ht="15" customHeight="1">
      <c r="A28" s="83"/>
      <c r="B28" s="105"/>
      <c r="C28" s="52"/>
      <c r="D28" s="80"/>
      <c r="E28" s="110"/>
      <c r="F28" s="94"/>
      <c r="G28" s="113"/>
    </row>
    <row r="29" spans="1:7" ht="15" customHeight="1">
      <c r="A29" s="83"/>
      <c r="B29" s="105"/>
      <c r="C29" s="52"/>
      <c r="D29" s="80"/>
      <c r="E29" s="110"/>
      <c r="F29" s="94"/>
      <c r="G29" s="113"/>
    </row>
    <row r="30" spans="1:7" ht="15" customHeight="1">
      <c r="A30" s="83"/>
      <c r="B30" s="109"/>
      <c r="C30" s="106"/>
      <c r="D30" s="80"/>
      <c r="E30" s="111"/>
      <c r="F30" s="95"/>
      <c r="G30" s="113"/>
    </row>
    <row r="31" spans="1:7" ht="15" customHeight="1">
      <c r="A31" s="83"/>
      <c r="B31" s="109"/>
      <c r="C31" s="106"/>
      <c r="D31" s="80"/>
      <c r="E31" s="111"/>
      <c r="F31" s="95"/>
      <c r="G31" s="113"/>
    </row>
    <row r="32" spans="1:7" ht="15" customHeight="1">
      <c r="A32" s="83"/>
      <c r="B32" s="109"/>
      <c r="C32" s="106"/>
      <c r="D32" s="80"/>
      <c r="E32" s="111"/>
      <c r="F32" s="95"/>
      <c r="G32" s="113"/>
    </row>
    <row r="33" spans="1:7" ht="15" customHeight="1">
      <c r="A33" s="83"/>
      <c r="B33" s="109"/>
      <c r="C33" s="106"/>
      <c r="D33" s="80"/>
      <c r="E33" s="111"/>
      <c r="F33" s="95"/>
      <c r="G33" s="113"/>
    </row>
    <row r="34" spans="1:7" ht="15" customHeight="1">
      <c r="A34" s="83"/>
      <c r="B34" s="109"/>
      <c r="C34" s="106"/>
      <c r="D34" s="80"/>
      <c r="E34" s="111"/>
      <c r="F34" s="95"/>
      <c r="G34" s="113"/>
    </row>
    <row r="35" spans="1:7" ht="15" customHeight="1">
      <c r="A35" s="83"/>
      <c r="B35" s="109"/>
      <c r="C35" s="106"/>
      <c r="D35" s="82"/>
      <c r="E35" s="111"/>
      <c r="F35" s="95"/>
      <c r="G35" s="113"/>
    </row>
    <row r="36" spans="1:7" ht="15" customHeight="1">
      <c r="A36" s="98"/>
      <c r="B36" s="105"/>
      <c r="C36" s="52"/>
      <c r="D36" s="52"/>
      <c r="E36" s="112"/>
      <c r="F36" s="95"/>
      <c r="G36" s="113"/>
    </row>
    <row r="37" spans="1:7" ht="15" customHeight="1">
      <c r="A37" s="98"/>
      <c r="B37" s="105"/>
      <c r="C37" s="52"/>
      <c r="D37" s="52"/>
      <c r="E37" s="112"/>
      <c r="F37" s="95"/>
      <c r="G37" s="113"/>
    </row>
    <row r="38" spans="1:7" ht="15" customHeight="1">
      <c r="A38" s="98"/>
      <c r="B38" s="105"/>
      <c r="C38" s="52"/>
      <c r="D38" s="52"/>
      <c r="E38" s="112"/>
      <c r="F38" s="95"/>
      <c r="G38" s="113"/>
    </row>
    <row r="39" spans="1:7" ht="15" customHeight="1">
      <c r="A39" s="98"/>
      <c r="B39" s="105"/>
      <c r="C39" s="52"/>
      <c r="D39" s="52"/>
      <c r="E39" s="112"/>
      <c r="F39" s="95"/>
      <c r="G39" s="113"/>
    </row>
    <row r="40" spans="1:7" ht="15" customHeight="1">
      <c r="A40" s="98"/>
      <c r="B40" s="105"/>
      <c r="C40" s="52"/>
      <c r="D40" s="52"/>
      <c r="E40" s="112"/>
      <c r="F40" s="95"/>
      <c r="G40" s="113"/>
    </row>
    <row r="41" spans="1:7" ht="15" customHeight="1">
      <c r="A41" s="98"/>
      <c r="B41" s="105"/>
      <c r="C41" s="52"/>
      <c r="D41" s="52"/>
      <c r="E41" s="112"/>
      <c r="F41" s="95"/>
      <c r="G41" s="113"/>
    </row>
    <row r="42" spans="1:7" ht="15" customHeight="1">
      <c r="A42" s="98"/>
      <c r="B42" s="105"/>
      <c r="C42" s="52"/>
      <c r="D42" s="52"/>
      <c r="E42" s="112"/>
      <c r="F42" s="95"/>
      <c r="G42" s="113"/>
    </row>
    <row r="43" spans="1:7" ht="15" customHeight="1">
      <c r="A43" s="98"/>
      <c r="B43" s="105"/>
      <c r="C43" s="52"/>
      <c r="D43" s="52"/>
      <c r="E43" s="112"/>
      <c r="F43" s="95"/>
      <c r="G43" s="113"/>
    </row>
    <row r="44" spans="1:7" ht="15" customHeight="1">
      <c r="A44" s="98"/>
      <c r="B44" s="105"/>
      <c r="C44" s="52"/>
      <c r="D44" s="52"/>
      <c r="E44" s="112"/>
      <c r="F44" s="95"/>
      <c r="G44" s="113"/>
    </row>
    <row r="45" spans="1:7" ht="15" customHeight="1">
      <c r="A45" s="98"/>
      <c r="B45" s="105"/>
      <c r="C45" s="52"/>
      <c r="D45" s="52"/>
      <c r="E45" s="112"/>
      <c r="F45" s="95"/>
      <c r="G45" s="113"/>
    </row>
    <row r="46" spans="1:7">
      <c r="A46" s="54"/>
      <c r="B46" s="51"/>
      <c r="C46" s="52"/>
      <c r="D46" s="52"/>
      <c r="E46" s="112"/>
      <c r="F46" s="95"/>
      <c r="G46" s="113"/>
    </row>
    <row r="47" spans="1:7">
      <c r="A47" s="54"/>
      <c r="B47" s="51"/>
      <c r="C47" s="52"/>
      <c r="D47" s="52"/>
      <c r="E47" s="112"/>
      <c r="F47" s="95"/>
      <c r="G47" s="113"/>
    </row>
    <row r="48" spans="1:7">
      <c r="A48" s="54"/>
      <c r="B48" s="51"/>
      <c r="C48" s="52"/>
      <c r="D48" s="52"/>
      <c r="E48" s="112"/>
      <c r="F48" s="95"/>
      <c r="G48" s="113"/>
    </row>
    <row r="49" spans="1:7">
      <c r="A49" s="54"/>
      <c r="B49" s="51"/>
      <c r="C49" s="52"/>
      <c r="D49" s="52"/>
      <c r="E49" s="112"/>
      <c r="F49" s="95"/>
      <c r="G49" s="113"/>
    </row>
    <row r="50" spans="1:7">
      <c r="A50" s="54"/>
      <c r="B50" s="52"/>
      <c r="C50" s="52"/>
      <c r="D50" s="52"/>
      <c r="E50" s="54"/>
      <c r="F50" s="95"/>
      <c r="G50" s="113"/>
    </row>
    <row r="51" spans="1:7">
      <c r="A51" s="62"/>
      <c r="B51" s="52"/>
      <c r="C51" s="52"/>
      <c r="D51" s="52"/>
      <c r="E51" s="54"/>
      <c r="F51" s="95"/>
      <c r="G51" s="113"/>
    </row>
    <row r="52" spans="1:7">
      <c r="A52" s="62"/>
      <c r="B52" s="52"/>
      <c r="C52" s="52"/>
      <c r="D52" s="52"/>
      <c r="E52" s="52"/>
      <c r="F52" s="95"/>
      <c r="G52" s="52"/>
    </row>
    <row r="53" spans="1:7" ht="15" customHeight="1">
      <c r="A53" s="87"/>
      <c r="B53" s="88"/>
      <c r="C53" s="89"/>
      <c r="D53" s="88"/>
      <c r="E53" s="199"/>
      <c r="F53" s="199"/>
      <c r="G53" s="88"/>
    </row>
    <row r="54" spans="1:7">
      <c r="A54" s="200"/>
      <c r="B54" s="200"/>
      <c r="C54" s="90"/>
      <c r="D54" s="91"/>
      <c r="E54" s="201"/>
      <c r="F54" s="201"/>
      <c r="G54" s="92"/>
    </row>
    <row r="55" spans="1:7">
      <c r="A55" s="55"/>
      <c r="B55" s="16"/>
      <c r="C55" s="25"/>
      <c r="D55" s="16"/>
      <c r="E55" s="47"/>
      <c r="F55" s="31"/>
      <c r="G55" s="8"/>
    </row>
  </sheetData>
  <mergeCells count="12">
    <mergeCell ref="F2:G5"/>
    <mergeCell ref="E53:F53"/>
    <mergeCell ref="A54:B54"/>
    <mergeCell ref="E54:F54"/>
    <mergeCell ref="F16:G16"/>
    <mergeCell ref="B12:C12"/>
    <mergeCell ref="F12:G12"/>
    <mergeCell ref="B13:C13"/>
    <mergeCell ref="F13:G13"/>
    <mergeCell ref="B14:C14"/>
    <mergeCell ref="B15:C15"/>
    <mergeCell ref="B16:C16"/>
  </mergeCells>
  <dataValidations count="1">
    <dataValidation type="list" allowBlank="1" showInputMessage="1" showErrorMessage="1" sqref="E13" xr:uid="{237F61B1-FF31-48FD-BC52-8BFBEEE5ED3D}">
      <formula1>"CUIT:,CUIL:,DNI:,DNICF:"</formula1>
    </dataValidation>
  </dataValidations>
  <printOptions verticalCentered="1"/>
  <pageMargins left="0" right="0" top="0" bottom="0" header="0" footer="0"/>
  <pageSetup paperSize="9" scale="8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5" r:id="rId4" name="Button 5">
              <controlPr defaultSize="0" print="0" autoFill="0" autoPict="0" macro="[0]!NuevoRemito">
                <anchor moveWithCells="1" sizeWithCells="1">
                  <from>
                    <xdr:col>7</xdr:col>
                    <xdr:colOff>742950</xdr:colOff>
                    <xdr:row>4</xdr:row>
                    <xdr:rowOff>152400</xdr:rowOff>
                  </from>
                  <to>
                    <xdr:col>9</xdr:col>
                    <xdr:colOff>352425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6CEEDC-661F-44AF-99CD-BCC3852A6AB8}">
          <x14:formula1>
            <xm:f>'Clientes'!$A$4:$A$2878</xm:f>
          </x14:formula1>
          <xm:sqref>F12:G12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06B61-9A20-46BF-B19E-3649EB0FBC8B}">
  <sheetPr codeName="Hoja17">
    <pageSetUpPr fitToPage="1"/>
  </sheetPr>
  <dimension ref="A1:N58"/>
  <sheetViews>
    <sheetView zoomScaleNormal="100" workbookViewId="0">
      <selection activeCell="B58" sqref="B58"/>
    </sheetView>
  </sheetViews>
  <sheetFormatPr baseColWidth="10" defaultColWidth="11.42578125" defaultRowHeight="15"/>
  <cols>
    <col min="1" max="1" width="10" customWidth="1"/>
    <col min="2" max="2" width="14" customWidth="1"/>
    <col min="3" max="3" width="35.28515625" style="29" customWidth="1"/>
    <col min="4" max="4" width="12.28515625" customWidth="1"/>
    <col min="5" max="5" width="12" style="46" customWidth="1"/>
    <col min="6" max="6" width="17.28515625" style="37" customWidth="1"/>
    <col min="7" max="7" width="18.140625" style="19" customWidth="1"/>
    <col min="9" max="9" width="12.5703125" bestFit="1" customWidth="1"/>
    <col min="10" max="10" width="12.85546875" bestFit="1" customWidth="1"/>
    <col min="11" max="11" width="11.7109375" bestFit="1" customWidth="1"/>
    <col min="13" max="14" width="11.42578125" customWidth="1"/>
  </cols>
  <sheetData>
    <row r="1" spans="1:7" ht="15" customHeight="1">
      <c r="A1" s="2"/>
      <c r="B1" s="2"/>
      <c r="C1" s="5"/>
      <c r="D1" s="191" t="s">
        <v>90</v>
      </c>
      <c r="E1" s="38"/>
      <c r="F1" s="34"/>
      <c r="G1" s="4"/>
    </row>
    <row r="2" spans="1:7" ht="15" customHeight="1">
      <c r="A2" s="2"/>
      <c r="B2" s="2"/>
      <c r="C2" s="5"/>
      <c r="D2" s="191"/>
      <c r="E2" s="39"/>
      <c r="F2" s="35"/>
      <c r="G2" s="4"/>
    </row>
    <row r="3" spans="1:7" ht="15" customHeight="1">
      <c r="A3" s="2"/>
      <c r="B3" s="2"/>
      <c r="C3" s="5"/>
      <c r="D3" s="191"/>
      <c r="E3" s="38"/>
      <c r="F3" s="35" t="s">
        <v>79</v>
      </c>
      <c r="G3" s="73"/>
    </row>
    <row r="4" spans="1:7" ht="15" customHeight="1">
      <c r="A4" s="2"/>
      <c r="B4" s="2"/>
      <c r="C4" s="5"/>
      <c r="D4" s="191"/>
      <c r="E4" s="38"/>
      <c r="F4" s="35" t="s">
        <v>18</v>
      </c>
      <c r="G4" s="86"/>
    </row>
    <row r="5" spans="1:7" ht="15" customHeight="1">
      <c r="A5" s="2"/>
      <c r="B5" s="2"/>
      <c r="C5" s="5"/>
      <c r="D5" s="85" t="s">
        <v>81</v>
      </c>
      <c r="E5" s="38"/>
      <c r="F5" s="35" t="s">
        <v>61</v>
      </c>
      <c r="G5" s="73"/>
    </row>
    <row r="6" spans="1:7">
      <c r="A6" s="2"/>
      <c r="B6" s="2"/>
      <c r="C6" s="5"/>
      <c r="E6" s="38"/>
      <c r="F6" s="73"/>
      <c r="G6" s="2"/>
    </row>
    <row r="7" spans="1:7">
      <c r="A7" s="165"/>
      <c r="B7" s="165"/>
      <c r="C7" s="5"/>
      <c r="D7" s="6"/>
      <c r="E7" s="40" t="s">
        <v>62</v>
      </c>
      <c r="F7" s="168"/>
      <c r="G7" s="8"/>
    </row>
    <row r="8" spans="1:7">
      <c r="A8" s="6" t="s">
        <v>1</v>
      </c>
      <c r="B8" s="8"/>
      <c r="C8" s="25"/>
      <c r="D8" s="9"/>
      <c r="E8" s="40" t="s">
        <v>85</v>
      </c>
      <c r="F8" s="168"/>
      <c r="G8" s="20"/>
    </row>
    <row r="9" spans="1:7">
      <c r="A9" s="6" t="s">
        <v>82</v>
      </c>
      <c r="B9" s="7"/>
      <c r="C9" s="25"/>
      <c r="D9" s="9"/>
      <c r="E9" s="40" t="s">
        <v>86</v>
      </c>
      <c r="F9" s="168"/>
      <c r="G9" s="20"/>
    </row>
    <row r="10" spans="1:7">
      <c r="A10" s="6" t="s">
        <v>83</v>
      </c>
      <c r="B10" s="7"/>
      <c r="C10" s="25"/>
      <c r="D10" s="9"/>
      <c r="E10" s="40" t="s">
        <v>87</v>
      </c>
      <c r="F10" s="168"/>
      <c r="G10" s="20"/>
    </row>
    <row r="11" spans="1:7" ht="15.75" thickBot="1">
      <c r="A11" s="10" t="s">
        <v>84</v>
      </c>
      <c r="B11" s="10"/>
      <c r="C11" s="26"/>
      <c r="D11" s="11"/>
      <c r="E11" s="41" t="s">
        <v>88</v>
      </c>
      <c r="F11" s="36"/>
      <c r="G11" s="21"/>
    </row>
    <row r="12" spans="1:7">
      <c r="A12" s="55" t="s">
        <v>0</v>
      </c>
      <c r="B12" s="181" t="s">
        <v>32</v>
      </c>
      <c r="C12" s="182"/>
      <c r="D12" s="166"/>
      <c r="E12" s="42" t="s">
        <v>16</v>
      </c>
      <c r="F12" s="185">
        <v>1000</v>
      </c>
      <c r="G12" s="185"/>
    </row>
    <row r="13" spans="1:7">
      <c r="A13" s="55" t="s">
        <v>1</v>
      </c>
      <c r="B13" s="183" t="s">
        <v>8</v>
      </c>
      <c r="C13" s="184"/>
      <c r="D13" s="166"/>
      <c r="E13" s="42" t="s">
        <v>62</v>
      </c>
      <c r="F13" s="186" t="s">
        <v>8</v>
      </c>
      <c r="G13" s="187"/>
    </row>
    <row r="14" spans="1:7">
      <c r="A14" s="55"/>
      <c r="B14" s="176" t="s">
        <v>8</v>
      </c>
      <c r="C14" s="177"/>
      <c r="D14" s="166"/>
      <c r="E14" s="42" t="s">
        <v>2</v>
      </c>
      <c r="F14" s="168"/>
      <c r="G14" s="59" t="str">
        <f>VLOOKUP(F12,'Clientes'!A3:J5,8,0)</f>
        <v>Contado</v>
      </c>
    </row>
    <row r="15" spans="1:7">
      <c r="A15" s="55"/>
      <c r="B15" s="176" t="s">
        <v>8</v>
      </c>
      <c r="C15" s="177"/>
      <c r="D15" s="166"/>
      <c r="E15" s="42" t="s">
        <v>3</v>
      </c>
      <c r="F15" s="168"/>
      <c r="G15" s="108"/>
    </row>
    <row r="16" spans="1:7">
      <c r="A16" s="56" t="s">
        <v>4</v>
      </c>
      <c r="B16" s="178" t="s">
        <v>30</v>
      </c>
      <c r="C16" s="179"/>
      <c r="D16" s="167"/>
      <c r="E16" s="43" t="s">
        <v>71</v>
      </c>
      <c r="F16" s="195"/>
      <c r="G16" s="195"/>
    </row>
    <row r="17" spans="1:11">
      <c r="A17" s="56"/>
      <c r="B17" s="15"/>
      <c r="C17" s="27"/>
      <c r="D17" s="15"/>
      <c r="E17" s="44"/>
      <c r="F17" s="31"/>
      <c r="G17" s="13"/>
      <c r="I17" s="196" t="s">
        <v>78</v>
      </c>
      <c r="J17" s="196"/>
      <c r="K17" s="196"/>
    </row>
    <row r="18" spans="1:11">
      <c r="A18" s="57" t="s">
        <v>5</v>
      </c>
      <c r="B18" s="22" t="s">
        <v>6</v>
      </c>
      <c r="C18" s="28" t="s">
        <v>7</v>
      </c>
      <c r="D18" s="23" t="s">
        <v>8</v>
      </c>
      <c r="E18" s="45" t="s">
        <v>9</v>
      </c>
      <c r="F18" s="33" t="s">
        <v>10</v>
      </c>
      <c r="G18" s="24" t="s">
        <v>11</v>
      </c>
      <c r="I18" s="120" t="s">
        <v>75</v>
      </c>
      <c r="J18" s="120" t="s">
        <v>76</v>
      </c>
      <c r="K18" s="120" t="s">
        <v>77</v>
      </c>
    </row>
    <row r="19" spans="1:11" ht="15" customHeight="1">
      <c r="A19" s="83"/>
      <c r="B19" s="51"/>
      <c r="C19" s="52"/>
      <c r="D19" s="161"/>
      <c r="E19" s="114"/>
      <c r="F19" s="135"/>
      <c r="G19" s="136"/>
      <c r="I19" s="119"/>
      <c r="J19" s="119"/>
      <c r="K19" s="119"/>
    </row>
    <row r="20" spans="1:11" ht="15" customHeight="1">
      <c r="A20" s="83"/>
      <c r="B20" s="51"/>
      <c r="C20" s="52"/>
      <c r="D20" s="161"/>
      <c r="E20" s="114"/>
      <c r="F20" s="135"/>
      <c r="G20" s="136"/>
      <c r="I20" s="119"/>
      <c r="J20" s="119"/>
      <c r="K20" s="119"/>
    </row>
    <row r="21" spans="1:11" ht="15" customHeight="1">
      <c r="A21" s="83"/>
      <c r="B21" s="51"/>
      <c r="C21" s="52"/>
      <c r="D21" s="162"/>
      <c r="E21" s="114"/>
      <c r="F21" s="135"/>
      <c r="G21" s="136"/>
      <c r="I21" s="119"/>
      <c r="J21" s="119"/>
      <c r="K21" s="119"/>
    </row>
    <row r="22" spans="1:11" ht="15" customHeight="1">
      <c r="A22" s="83"/>
      <c r="B22" s="51"/>
      <c r="C22" s="52"/>
      <c r="D22" s="162"/>
      <c r="E22" s="114"/>
      <c r="F22" s="135"/>
      <c r="G22" s="136"/>
      <c r="I22" s="118"/>
      <c r="J22" s="118"/>
      <c r="K22" s="118"/>
    </row>
    <row r="23" spans="1:11" ht="15" customHeight="1">
      <c r="A23" s="83"/>
      <c r="B23" s="51"/>
      <c r="C23" s="52"/>
      <c r="D23" s="162"/>
      <c r="E23" s="114"/>
      <c r="F23" s="135"/>
      <c r="G23" s="136"/>
      <c r="I23" s="118"/>
      <c r="J23" s="118"/>
      <c r="K23" s="118"/>
    </row>
    <row r="24" spans="1:11" ht="15" customHeight="1">
      <c r="A24" s="81"/>
      <c r="B24" s="79"/>
      <c r="C24" s="106"/>
      <c r="D24" s="163"/>
      <c r="E24" s="115"/>
      <c r="F24" s="137"/>
      <c r="G24" s="136"/>
      <c r="I24" s="118"/>
      <c r="J24" s="118"/>
      <c r="K24" s="118"/>
    </row>
    <row r="25" spans="1:11" ht="15" customHeight="1">
      <c r="A25" s="81"/>
      <c r="B25" s="79"/>
      <c r="C25" s="106"/>
      <c r="D25" s="163"/>
      <c r="E25" s="115"/>
      <c r="F25" s="137"/>
      <c r="G25" s="136"/>
      <c r="I25" s="118"/>
      <c r="J25" s="118"/>
      <c r="K25" s="118"/>
    </row>
    <row r="26" spans="1:11" ht="15" customHeight="1">
      <c r="A26" s="81"/>
      <c r="B26" s="79"/>
      <c r="C26" s="106"/>
      <c r="D26" s="163"/>
      <c r="E26" s="115"/>
      <c r="F26" s="137"/>
      <c r="G26" s="136"/>
      <c r="I26" s="118"/>
      <c r="J26" s="118"/>
      <c r="K26" s="118"/>
    </row>
    <row r="27" spans="1:11" ht="15" customHeight="1">
      <c r="A27" s="81"/>
      <c r="B27" s="79"/>
      <c r="C27" s="106"/>
      <c r="D27" s="163"/>
      <c r="E27" s="115"/>
      <c r="F27" s="137"/>
      <c r="G27" s="136"/>
      <c r="I27" s="118"/>
      <c r="J27" s="118"/>
      <c r="K27" s="118"/>
    </row>
    <row r="28" spans="1:11" ht="15" customHeight="1">
      <c r="A28" s="81"/>
      <c r="B28" s="79"/>
      <c r="C28" s="106"/>
      <c r="D28" s="163"/>
      <c r="E28" s="115"/>
      <c r="F28" s="137"/>
      <c r="G28" s="136"/>
      <c r="I28" s="118"/>
      <c r="J28" s="118"/>
      <c r="K28" s="118"/>
    </row>
    <row r="29" spans="1:11" ht="15" customHeight="1">
      <c r="A29" s="81"/>
      <c r="B29" s="79"/>
      <c r="C29" s="106"/>
      <c r="D29" s="163"/>
      <c r="E29" s="115"/>
      <c r="F29" s="137"/>
      <c r="G29" s="136"/>
      <c r="I29" s="118"/>
      <c r="J29" s="118"/>
      <c r="K29" s="118"/>
    </row>
    <row r="30" spans="1:11" ht="15" customHeight="1">
      <c r="A30" s="81"/>
      <c r="B30" s="79"/>
      <c r="C30" s="106"/>
      <c r="D30" s="163"/>
      <c r="E30" s="115"/>
      <c r="F30" s="137"/>
      <c r="G30" s="136"/>
      <c r="I30" s="118"/>
      <c r="J30" s="118"/>
      <c r="K30" s="118"/>
    </row>
    <row r="31" spans="1:11" ht="15" customHeight="1">
      <c r="A31" s="81"/>
      <c r="B31" s="79"/>
      <c r="C31" s="106"/>
      <c r="D31" s="163"/>
      <c r="E31" s="115"/>
      <c r="F31" s="137"/>
      <c r="G31" s="136"/>
      <c r="I31" s="118"/>
      <c r="J31" s="118"/>
      <c r="K31" s="118"/>
    </row>
    <row r="32" spans="1:11" ht="15" customHeight="1">
      <c r="A32" s="81"/>
      <c r="B32" s="79"/>
      <c r="C32" s="106"/>
      <c r="D32" s="163"/>
      <c r="E32" s="115"/>
      <c r="F32" s="137"/>
      <c r="G32" s="136"/>
      <c r="I32" s="118"/>
      <c r="J32" s="118"/>
      <c r="K32" s="118"/>
    </row>
    <row r="33" spans="1:11" ht="15" customHeight="1">
      <c r="A33" s="81"/>
      <c r="B33" s="79"/>
      <c r="C33" s="106"/>
      <c r="D33" s="163"/>
      <c r="E33" s="115"/>
      <c r="F33" s="137"/>
      <c r="G33" s="136"/>
      <c r="I33" s="118"/>
      <c r="J33" s="118"/>
      <c r="K33" s="118"/>
    </row>
    <row r="34" spans="1:11" ht="15" customHeight="1">
      <c r="A34" s="81"/>
      <c r="B34" s="79"/>
      <c r="C34" s="106"/>
      <c r="D34" s="163"/>
      <c r="E34" s="115"/>
      <c r="F34" s="137"/>
      <c r="G34" s="136"/>
      <c r="I34" s="118"/>
      <c r="J34" s="118"/>
      <c r="K34" s="118"/>
    </row>
    <row r="35" spans="1:11" ht="15" customHeight="1">
      <c r="A35" s="81"/>
      <c r="B35" s="79"/>
      <c r="C35" s="106"/>
      <c r="D35" s="164"/>
      <c r="E35" s="115"/>
      <c r="F35" s="137"/>
      <c r="G35" s="136"/>
      <c r="I35" s="118"/>
      <c r="J35" s="118"/>
      <c r="K35" s="118"/>
    </row>
    <row r="36" spans="1:11">
      <c r="A36" s="54"/>
      <c r="B36" s="51"/>
      <c r="C36" s="52"/>
      <c r="D36" s="117"/>
      <c r="E36" s="116"/>
      <c r="F36" s="137"/>
      <c r="G36" s="136"/>
      <c r="I36" s="118"/>
      <c r="J36" s="118"/>
      <c r="K36" s="118"/>
    </row>
    <row r="37" spans="1:11">
      <c r="A37" s="54"/>
      <c r="B37" s="51"/>
      <c r="C37" s="52"/>
      <c r="D37" s="117"/>
      <c r="E37" s="116"/>
      <c r="F37" s="137"/>
      <c r="G37" s="136"/>
      <c r="I37" s="118"/>
      <c r="J37" s="118"/>
      <c r="K37" s="118"/>
    </row>
    <row r="38" spans="1:11">
      <c r="A38" s="54"/>
      <c r="B38" s="51"/>
      <c r="C38" s="52"/>
      <c r="D38" s="117"/>
      <c r="E38" s="116"/>
      <c r="F38" s="137"/>
      <c r="G38" s="136"/>
      <c r="I38" s="118"/>
      <c r="J38" s="118"/>
      <c r="K38" s="118"/>
    </row>
    <row r="39" spans="1:11">
      <c r="A39" s="54"/>
      <c r="B39" s="51"/>
      <c r="C39" s="52"/>
      <c r="D39" s="117"/>
      <c r="E39" s="116"/>
      <c r="F39" s="137"/>
      <c r="G39" s="136"/>
      <c r="I39" s="118"/>
      <c r="J39" s="118"/>
      <c r="K39" s="118"/>
    </row>
    <row r="40" spans="1:11">
      <c r="A40" s="54"/>
      <c r="B40" s="51"/>
      <c r="C40" s="52"/>
      <c r="D40" s="117"/>
      <c r="E40" s="116"/>
      <c r="F40" s="137"/>
      <c r="G40" s="136"/>
      <c r="I40" s="118"/>
      <c r="J40" s="118"/>
      <c r="K40" s="118"/>
    </row>
    <row r="41" spans="1:11">
      <c r="A41" s="54"/>
      <c r="B41" s="51"/>
      <c r="C41" s="52"/>
      <c r="D41" s="117"/>
      <c r="E41" s="116"/>
      <c r="F41" s="137"/>
      <c r="G41" s="136"/>
      <c r="I41" s="118"/>
      <c r="J41" s="118"/>
      <c r="K41" s="118"/>
    </row>
    <row r="42" spans="1:11">
      <c r="A42" s="54"/>
      <c r="B42" s="51"/>
      <c r="C42" s="52"/>
      <c r="D42" s="117"/>
      <c r="E42" s="116"/>
      <c r="F42" s="137"/>
      <c r="G42" s="136"/>
      <c r="I42" s="118"/>
      <c r="J42" s="118"/>
      <c r="K42" s="118"/>
    </row>
    <row r="43" spans="1:11">
      <c r="A43" s="54"/>
      <c r="B43" s="51"/>
      <c r="C43" s="52"/>
      <c r="D43" s="117"/>
      <c r="E43" s="116"/>
      <c r="F43" s="137"/>
      <c r="G43" s="136"/>
      <c r="I43" s="118"/>
      <c r="J43" s="118"/>
      <c r="K43" s="118"/>
    </row>
    <row r="44" spans="1:11">
      <c r="A44" s="54"/>
      <c r="B44" s="51"/>
      <c r="C44" s="52"/>
      <c r="D44" s="117"/>
      <c r="E44" s="116"/>
      <c r="F44" s="137"/>
      <c r="G44" s="136"/>
      <c r="I44" s="118"/>
      <c r="J44" s="118"/>
      <c r="K44" s="118"/>
    </row>
    <row r="45" spans="1:11">
      <c r="A45" s="54"/>
      <c r="B45" s="51"/>
      <c r="C45" s="52"/>
      <c r="D45" s="117"/>
      <c r="E45" s="116"/>
      <c r="F45" s="137"/>
      <c r="G45" s="136"/>
      <c r="I45" s="118"/>
      <c r="J45" s="118"/>
      <c r="K45" s="118"/>
    </row>
    <row r="46" spans="1:11">
      <c r="A46" s="54"/>
      <c r="B46" s="51"/>
      <c r="C46" s="52"/>
      <c r="D46" s="117"/>
      <c r="E46" s="116"/>
      <c r="F46" s="137"/>
      <c r="G46" s="136"/>
      <c r="I46" s="118"/>
      <c r="J46" s="118"/>
      <c r="K46" s="118"/>
    </row>
    <row r="47" spans="1:11">
      <c r="A47" s="54"/>
      <c r="B47" s="51"/>
      <c r="C47" s="52"/>
      <c r="D47" s="117"/>
      <c r="E47" s="116"/>
      <c r="F47" s="137"/>
      <c r="G47" s="136"/>
      <c r="I47" s="118"/>
      <c r="J47" s="118"/>
      <c r="K47" s="118"/>
    </row>
    <row r="48" spans="1:11">
      <c r="A48" s="54"/>
      <c r="B48" s="51"/>
      <c r="C48" s="52"/>
      <c r="D48" s="117"/>
      <c r="E48" s="116"/>
      <c r="F48" s="137"/>
      <c r="G48" s="136"/>
      <c r="I48" s="118"/>
      <c r="J48" s="118"/>
      <c r="K48" s="118"/>
    </row>
    <row r="49" spans="1:14">
      <c r="A49" s="54"/>
      <c r="B49" s="52"/>
      <c r="C49" s="52"/>
      <c r="D49" s="117"/>
      <c r="E49" s="117"/>
      <c r="F49" s="137"/>
      <c r="G49" s="136"/>
      <c r="I49" s="118"/>
      <c r="J49" s="118"/>
      <c r="K49" s="118"/>
    </row>
    <row r="50" spans="1:14">
      <c r="A50" s="54"/>
      <c r="B50" s="52"/>
      <c r="C50" s="52"/>
      <c r="D50" s="117"/>
      <c r="E50" s="117"/>
      <c r="F50" s="137"/>
      <c r="G50" s="136"/>
      <c r="I50" s="118"/>
      <c r="J50" s="118"/>
      <c r="K50" s="118"/>
    </row>
    <row r="51" spans="1:14">
      <c r="A51" s="62"/>
      <c r="B51" s="52"/>
      <c r="C51" s="52"/>
      <c r="D51" s="117"/>
      <c r="E51" s="117"/>
      <c r="F51" s="137"/>
      <c r="G51" s="136"/>
      <c r="I51" s="118"/>
      <c r="J51" s="118"/>
      <c r="K51" s="118"/>
    </row>
    <row r="52" spans="1:14">
      <c r="A52" s="62"/>
      <c r="B52" s="52"/>
      <c r="C52" s="52"/>
      <c r="D52" s="117"/>
      <c r="E52" s="117"/>
      <c r="F52" s="137"/>
      <c r="G52" s="136"/>
      <c r="I52" s="118"/>
      <c r="J52" s="118"/>
      <c r="K52" s="118"/>
    </row>
    <row r="53" spans="1:14">
      <c r="A53" s="70" t="s">
        <v>17</v>
      </c>
      <c r="B53" s="15" t="s">
        <v>20</v>
      </c>
      <c r="C53" s="71" t="s">
        <v>12</v>
      </c>
      <c r="D53" s="148" t="s">
        <v>13</v>
      </c>
      <c r="E53" s="202" t="s">
        <v>14</v>
      </c>
      <c r="F53" s="202"/>
      <c r="G53" s="72" t="s">
        <v>15</v>
      </c>
    </row>
    <row r="54" spans="1:14">
      <c r="A54" s="173"/>
      <c r="B54" s="174"/>
      <c r="C54" s="142"/>
      <c r="D54" s="143"/>
      <c r="E54" s="203"/>
      <c r="F54" s="203"/>
      <c r="G54" s="138"/>
    </row>
    <row r="55" spans="1:14">
      <c r="A55" s="55"/>
      <c r="B55" s="16"/>
      <c r="C55" s="25"/>
      <c r="D55" s="16"/>
      <c r="E55" s="47"/>
      <c r="F55" s="31"/>
      <c r="G55" s="8"/>
      <c r="N55" s="84"/>
    </row>
    <row r="56" spans="1:14">
      <c r="E56" s="77" t="s">
        <v>54</v>
      </c>
      <c r="F56" s="78"/>
    </row>
    <row r="57" spans="1:14">
      <c r="E57" s="77" t="s">
        <v>55</v>
      </c>
      <c r="F57" s="131"/>
    </row>
    <row r="58" spans="1:14">
      <c r="I58" s="76"/>
    </row>
  </sheetData>
  <mergeCells count="13">
    <mergeCell ref="I17:K17"/>
    <mergeCell ref="E53:F53"/>
    <mergeCell ref="A54:B54"/>
    <mergeCell ref="E54:F54"/>
    <mergeCell ref="D1:D4"/>
    <mergeCell ref="B12:C12"/>
    <mergeCell ref="F12:G12"/>
    <mergeCell ref="B13:C13"/>
    <mergeCell ref="F13:G13"/>
    <mergeCell ref="B14:C14"/>
    <mergeCell ref="B15:C15"/>
    <mergeCell ref="B16:C16"/>
    <mergeCell ref="F16:G16"/>
  </mergeCells>
  <dataValidations count="2">
    <dataValidation type="list" allowBlank="1" showInputMessage="1" showErrorMessage="1" sqref="G2" xr:uid="{8940A6F3-6DBD-409F-98D7-EA13EF33C041}">
      <formula1>"Juan,Brian Gai"</formula1>
    </dataValidation>
    <dataValidation type="list" allowBlank="1" showInputMessage="1" showErrorMessage="1" sqref="E13" xr:uid="{7A576D69-F231-486E-8968-2184E9B7EF03}">
      <formula1>"CUIT:,CUIL:,DNI:,DNICF:"</formula1>
    </dataValidation>
  </dataValidations>
  <pageMargins left="0" right="0" top="0" bottom="0" header="0" footer="0"/>
  <pageSetup paperSize="9" scale="88"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1" r:id="rId4" name="Button 3">
              <controlPr defaultSize="0" print="0" autoFill="0" autoPict="0" macro="[0]!GenerarNotaCredito">
                <anchor moveWithCells="1" sizeWithCells="1">
                  <from>
                    <xdr:col>8</xdr:col>
                    <xdr:colOff>228600</xdr:colOff>
                    <xdr:row>2</xdr:row>
                    <xdr:rowOff>85725</xdr:rowOff>
                  </from>
                  <to>
                    <xdr:col>9</xdr:col>
                    <xdr:colOff>381000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6F53EEA-2689-41F6-B7E2-7CDE8F70E491}">
          <x14:formula1>
            <xm:f>'Clientes'!$A$4:$A$2878</xm:f>
          </x14:formula1>
          <xm:sqref>F12:G12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27444-9BF8-4ABF-83A1-570C22F998B6}">
  <sheetPr codeName="Hoja12"/>
  <dimension ref="A1:E62"/>
  <sheetViews>
    <sheetView workbookViewId="0">
      <selection activeCell="G19" sqref="G19"/>
    </sheetView>
  </sheetViews>
  <sheetFormatPr baseColWidth="10" defaultColWidth="11.42578125" defaultRowHeight="15"/>
  <cols>
    <col min="1" max="1" width="10.85546875" customWidth="1"/>
    <col min="2" max="2" width="9.7109375" customWidth="1"/>
    <col min="3" max="3" width="44.85546875" customWidth="1"/>
    <col min="4" max="4" width="30.28515625" customWidth="1"/>
    <col min="5" max="5" width="15.140625" style="63" customWidth="1"/>
    <col min="6" max="9" width="15.42578125" customWidth="1"/>
  </cols>
  <sheetData>
    <row r="1" spans="1:5">
      <c r="A1" t="s">
        <v>67</v>
      </c>
      <c r="B1" t="s">
        <v>66</v>
      </c>
      <c r="C1" t="s">
        <v>21</v>
      </c>
      <c r="D1" t="s">
        <v>68</v>
      </c>
      <c r="E1" s="63" t="s">
        <v>69</v>
      </c>
    </row>
    <row r="2" spans="1:5">
      <c r="B2" s="74"/>
    </row>
    <row r="3" spans="1:5">
      <c r="B3" s="74"/>
    </row>
    <row r="4" spans="1:5">
      <c r="B4" s="74"/>
    </row>
    <row r="5" spans="1:5">
      <c r="B5" s="74"/>
    </row>
    <row r="6" spans="1:5">
      <c r="B6" s="74"/>
    </row>
    <row r="7" spans="1:5">
      <c r="B7" s="74"/>
    </row>
    <row r="8" spans="1:5">
      <c r="B8" s="74"/>
    </row>
    <row r="9" spans="1:5">
      <c r="B9" s="74"/>
    </row>
    <row r="10" spans="1:5">
      <c r="B10" s="74"/>
    </row>
    <row r="11" spans="1:5">
      <c r="B11" s="74"/>
    </row>
    <row r="12" spans="1:5">
      <c r="B12" s="74"/>
    </row>
    <row r="13" spans="1:5">
      <c r="B13" s="74"/>
    </row>
    <row r="14" spans="1:5">
      <c r="B14" s="74"/>
    </row>
    <row r="15" spans="1:5">
      <c r="B15" s="74"/>
    </row>
    <row r="16" spans="1:5">
      <c r="B16" s="74"/>
    </row>
    <row r="17" spans="2:2">
      <c r="B17" s="74"/>
    </row>
    <row r="19" spans="2:2">
      <c r="B19" s="74"/>
    </row>
    <row r="20" spans="2:2">
      <c r="B20" s="74"/>
    </row>
    <row r="21" spans="2:2">
      <c r="B21" s="74"/>
    </row>
    <row r="22" spans="2:2">
      <c r="B22" s="74"/>
    </row>
    <row r="23" spans="2:2">
      <c r="B23" s="74"/>
    </row>
    <row r="24" spans="2:2">
      <c r="B24" s="74"/>
    </row>
    <row r="25" spans="2:2">
      <c r="B25" s="74"/>
    </row>
    <row r="26" spans="2:2">
      <c r="B26" s="74"/>
    </row>
    <row r="27" spans="2:2">
      <c r="B27" s="74"/>
    </row>
    <row r="28" spans="2:2">
      <c r="B28" s="74"/>
    </row>
    <row r="29" spans="2:2">
      <c r="B29" s="74"/>
    </row>
    <row r="30" spans="2:2">
      <c r="B30" s="74"/>
    </row>
    <row r="31" spans="2:2">
      <c r="B31" s="74"/>
    </row>
    <row r="32" spans="2:2">
      <c r="B32" s="74"/>
    </row>
    <row r="33" spans="2:2">
      <c r="B33" s="74"/>
    </row>
    <row r="34" spans="2:2">
      <c r="B34" s="74"/>
    </row>
    <row r="35" spans="2:2">
      <c r="B35" s="74"/>
    </row>
    <row r="36" spans="2:2">
      <c r="B36" s="74"/>
    </row>
    <row r="37" spans="2:2">
      <c r="B37" s="74"/>
    </row>
    <row r="38" spans="2:2">
      <c r="B38" s="74"/>
    </row>
    <row r="39" spans="2:2">
      <c r="B39" s="74"/>
    </row>
    <row r="40" spans="2:2">
      <c r="B40" s="74"/>
    </row>
    <row r="41" spans="2:2">
      <c r="B41" s="74"/>
    </row>
    <row r="42" spans="2:2">
      <c r="B42" s="74"/>
    </row>
    <row r="43" spans="2:2">
      <c r="B43" s="74"/>
    </row>
    <row r="44" spans="2:2">
      <c r="B44" s="74"/>
    </row>
    <row r="45" spans="2:2">
      <c r="B45" s="74"/>
    </row>
    <row r="46" spans="2:2">
      <c r="B46" s="74"/>
    </row>
    <row r="47" spans="2:2">
      <c r="B47" s="74"/>
    </row>
    <row r="48" spans="2:2">
      <c r="B48" s="74"/>
    </row>
    <row r="49" spans="2:2">
      <c r="B49" s="74"/>
    </row>
    <row r="50" spans="2:2">
      <c r="B50" s="74"/>
    </row>
    <row r="51" spans="2:2">
      <c r="B51" s="74"/>
    </row>
    <row r="52" spans="2:2">
      <c r="B52" s="74"/>
    </row>
    <row r="53" spans="2:2">
      <c r="B53" s="74"/>
    </row>
    <row r="54" spans="2:2">
      <c r="B54" s="74"/>
    </row>
    <row r="55" spans="2:2">
      <c r="B55" s="74"/>
    </row>
    <row r="56" spans="2:2">
      <c r="B56" s="74"/>
    </row>
    <row r="57" spans="2:2">
      <c r="B57" s="74"/>
    </row>
    <row r="58" spans="2:2">
      <c r="B58" s="74"/>
    </row>
    <row r="59" spans="2:2">
      <c r="B59" s="74"/>
    </row>
    <row r="60" spans="2:2">
      <c r="B60" s="74"/>
    </row>
    <row r="61" spans="2:2">
      <c r="B61" s="74"/>
    </row>
    <row r="62" spans="2:2">
      <c r="B62" s="74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C343-51F5-444E-801E-946C2A2421C8}">
  <sheetPr codeName="Hoja4"/>
  <dimension ref="A1:C5"/>
  <sheetViews>
    <sheetView workbookViewId="0">
      <selection activeCell="B6" sqref="B6"/>
    </sheetView>
  </sheetViews>
  <sheetFormatPr baseColWidth="10" defaultColWidth="11.42578125" defaultRowHeight="15"/>
  <cols>
    <col min="1" max="1" width="17.140625" customWidth="1"/>
    <col min="2" max="2" width="13.42578125" bestFit="1" customWidth="1"/>
    <col min="3" max="3" width="18.42578125" bestFit="1" customWidth="1"/>
  </cols>
  <sheetData>
    <row r="1" spans="1:3">
      <c r="A1" t="s">
        <v>37</v>
      </c>
    </row>
    <row r="2" spans="1:3">
      <c r="A2" s="63"/>
    </row>
    <row r="3" spans="1:3">
      <c r="A3" t="s">
        <v>57</v>
      </c>
      <c r="C3" s="75"/>
    </row>
    <row r="4" spans="1:3">
      <c r="A4" t="s">
        <v>58</v>
      </c>
      <c r="C4" t="s">
        <v>60</v>
      </c>
    </row>
    <row r="5" spans="1:3">
      <c r="A5" t="s">
        <v>59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1BCDC-BFDC-4BD7-A983-50343DF921CF}">
  <sheetPr codeName="Hoja3"/>
  <dimension ref="A1:N3"/>
  <sheetViews>
    <sheetView zoomScaleNormal="100" workbookViewId="0">
      <selection activeCell="B7" sqref="B7"/>
    </sheetView>
  </sheetViews>
  <sheetFormatPr baseColWidth="10" defaultColWidth="11.42578125" defaultRowHeight="15"/>
  <cols>
    <col min="1" max="1" width="9.140625" customWidth="1"/>
    <col min="2" max="2" width="21.28515625" customWidth="1"/>
    <col min="3" max="3" width="16.5703125" customWidth="1"/>
    <col min="4" max="4" width="52.85546875" style="170" customWidth="1"/>
    <col min="5" max="5" width="10.28515625" customWidth="1"/>
    <col min="6" max="6" width="21.140625" style="64" customWidth="1"/>
    <col min="7" max="7" width="25.140625" style="64" customWidth="1"/>
    <col min="8" max="8" width="12.42578125" style="46" customWidth="1"/>
    <col min="9" max="9" width="18.85546875" style="64" customWidth="1"/>
    <col min="10" max="10" width="11.42578125" style="46"/>
    <col min="11" max="11" width="16.85546875" style="64" customWidth="1"/>
    <col min="12" max="12" width="11.42578125" style="46"/>
    <col min="13" max="13" width="11.42578125" style="64"/>
    <col min="14" max="14" width="22" style="64" customWidth="1"/>
  </cols>
  <sheetData>
    <row r="1" spans="1:14">
      <c r="C1" t="s">
        <v>52</v>
      </c>
    </row>
    <row r="3" spans="1:14">
      <c r="A3" s="65" t="s">
        <v>34</v>
      </c>
      <c r="B3" s="67" t="s">
        <v>39</v>
      </c>
      <c r="C3" s="65" t="s">
        <v>48</v>
      </c>
      <c r="D3" s="171" t="s">
        <v>35</v>
      </c>
      <c r="E3" s="65" t="s">
        <v>42</v>
      </c>
      <c r="F3" s="68" t="s">
        <v>43</v>
      </c>
      <c r="G3" s="66" t="s">
        <v>44</v>
      </c>
      <c r="H3" s="69" t="s">
        <v>45</v>
      </c>
      <c r="I3" s="66" t="s">
        <v>46</v>
      </c>
      <c r="J3" s="69" t="s">
        <v>49</v>
      </c>
      <c r="K3" s="66" t="s">
        <v>50</v>
      </c>
      <c r="L3" s="69" t="s">
        <v>25</v>
      </c>
      <c r="M3" s="66" t="s">
        <v>47</v>
      </c>
      <c r="N3" s="68" t="s">
        <v>51</v>
      </c>
    </row>
  </sheetData>
  <dataValidations count="1">
    <dataValidation type="list" allowBlank="1" showInputMessage="1" showErrorMessage="1" sqref="C1" xr:uid="{3F3C7099-7E6F-43B1-A4A9-30C1DD0B88BE}">
      <formula1>"Lista Reposicion, Lista Mayorista, Lista Mostrador, Lista Gremio"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scarProducto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9525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AgregarProductoACotizacion">
                <anchor moveWithCells="1" sizeWithCells="1">
                  <from>
                    <xdr:col>3</xdr:col>
                    <xdr:colOff>9525</xdr:colOff>
                    <xdr:row>0</xdr:row>
                    <xdr:rowOff>0</xdr:rowOff>
                  </from>
                  <to>
                    <xdr:col>3</xdr:col>
                    <xdr:colOff>1685925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NuevaCotizacion">
                <anchor moveWithCells="1" sizeWithCells="1">
                  <from>
                    <xdr:col>3</xdr:col>
                    <xdr:colOff>2124075</xdr:colOff>
                    <xdr:row>0</xdr:row>
                    <xdr:rowOff>0</xdr:rowOff>
                  </from>
                  <to>
                    <xdr:col>3</xdr:col>
                    <xdr:colOff>3790950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28D1-336F-4ECB-9A3C-1D919A4D9930}">
  <sheetPr codeName="Hoja5"/>
  <dimension ref="A1:N1"/>
  <sheetViews>
    <sheetView workbookViewId="0">
      <selection activeCell="A6" sqref="A6"/>
    </sheetView>
  </sheetViews>
  <sheetFormatPr baseColWidth="10" defaultColWidth="11.42578125" defaultRowHeight="15"/>
  <cols>
    <col min="1" max="1" width="40" customWidth="1"/>
    <col min="2" max="2" width="14.42578125" customWidth="1"/>
    <col min="3" max="3" width="50.140625" customWidth="1"/>
    <col min="4" max="4" width="81.140625" customWidth="1"/>
    <col min="5" max="5" width="10.7109375" customWidth="1"/>
    <col min="6" max="6" width="21.42578125" customWidth="1"/>
    <col min="7" max="7" width="25.42578125" customWidth="1"/>
    <col min="8" max="8" width="12.7109375" customWidth="1"/>
    <col min="9" max="9" width="19.140625" customWidth="1"/>
    <col min="10" max="10" width="11.42578125" customWidth="1"/>
    <col min="11" max="11" width="19" customWidth="1"/>
    <col min="12" max="12" width="6.42578125" customWidth="1"/>
    <col min="13" max="13" width="19.140625" customWidth="1"/>
    <col min="14" max="14" width="19" customWidth="1"/>
  </cols>
  <sheetData>
    <row r="1" spans="1:14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49</v>
      </c>
      <c r="K1" t="s">
        <v>50</v>
      </c>
      <c r="L1" t="s">
        <v>25</v>
      </c>
      <c r="M1" t="s">
        <v>47</v>
      </c>
      <c r="N1" t="s">
        <v>51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FFD13-33D4-4EB1-9390-735C12026CDA}">
  <sheetPr codeName="Hoja2"/>
  <dimension ref="A1:N1"/>
  <sheetViews>
    <sheetView workbookViewId="0">
      <selection activeCell="A2" sqref="A2:N3986"/>
    </sheetView>
  </sheetViews>
  <sheetFormatPr baseColWidth="10" defaultColWidth="11.42578125" defaultRowHeight="15"/>
  <cols>
    <col min="1" max="1" width="40" customWidth="1"/>
    <col min="2" max="2" width="14.42578125" customWidth="1"/>
    <col min="3" max="3" width="50.140625" customWidth="1"/>
    <col min="4" max="4" width="81.140625" customWidth="1"/>
    <col min="5" max="5" width="10.7109375" customWidth="1"/>
    <col min="6" max="6" width="21.42578125" customWidth="1"/>
    <col min="7" max="7" width="25.42578125" customWidth="1"/>
    <col min="8" max="8" width="12.7109375" customWidth="1"/>
    <col min="9" max="9" width="19.140625" customWidth="1"/>
    <col min="11" max="11" width="19" customWidth="1"/>
    <col min="12" max="12" width="6.42578125" customWidth="1"/>
    <col min="13" max="13" width="19.140625" customWidth="1"/>
    <col min="14" max="14" width="19" customWidth="1"/>
  </cols>
  <sheetData>
    <row r="1" spans="1:14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49</v>
      </c>
      <c r="K1" t="s">
        <v>50</v>
      </c>
      <c r="L1" t="s">
        <v>25</v>
      </c>
      <c r="M1" t="s">
        <v>47</v>
      </c>
      <c r="N1" t="s">
        <v>51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7A127-FF95-4751-B572-81D3D69CFA38}">
  <sheetPr codeName="Hoja8"/>
  <dimension ref="A1:N1"/>
  <sheetViews>
    <sheetView workbookViewId="0">
      <selection activeCell="C6" sqref="C6"/>
    </sheetView>
  </sheetViews>
  <sheetFormatPr baseColWidth="10" defaultColWidth="11.42578125" defaultRowHeight="15"/>
  <cols>
    <col min="1" max="1" width="40" customWidth="1"/>
    <col min="2" max="2" width="14.42578125" customWidth="1"/>
    <col min="3" max="3" width="50.140625" customWidth="1"/>
    <col min="4" max="4" width="81.140625" customWidth="1"/>
    <col min="5" max="5" width="10.7109375" customWidth="1"/>
    <col min="6" max="6" width="21.42578125" customWidth="1"/>
    <col min="7" max="7" width="25.42578125" customWidth="1"/>
    <col min="8" max="8" width="12.7109375" customWidth="1"/>
    <col min="9" max="9" width="19.140625" customWidth="1"/>
    <col min="11" max="11" width="19" customWidth="1"/>
    <col min="12" max="12" width="6.42578125" customWidth="1"/>
    <col min="13" max="13" width="19.140625" customWidth="1"/>
    <col min="14" max="14" width="19" customWidth="1"/>
  </cols>
  <sheetData>
    <row r="1" spans="1:14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49</v>
      </c>
      <c r="K1" t="s">
        <v>50</v>
      </c>
      <c r="L1" t="s">
        <v>25</v>
      </c>
      <c r="M1" t="s">
        <v>47</v>
      </c>
      <c r="N1" t="s">
        <v>51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AC849-D6FE-4746-A942-3DDD70525A33}">
  <sheetPr codeName="Hoja9"/>
  <dimension ref="A1:N1"/>
  <sheetViews>
    <sheetView workbookViewId="0">
      <selection activeCell="D20" sqref="D20"/>
    </sheetView>
  </sheetViews>
  <sheetFormatPr baseColWidth="10" defaultColWidth="11.42578125" defaultRowHeight="15"/>
  <cols>
    <col min="1" max="1" width="40" customWidth="1"/>
    <col min="2" max="2" width="14.42578125" customWidth="1"/>
    <col min="3" max="3" width="50.140625" customWidth="1"/>
    <col min="4" max="4" width="81.140625" customWidth="1"/>
    <col min="5" max="5" width="10.7109375" customWidth="1"/>
    <col min="6" max="6" width="21.42578125" customWidth="1"/>
    <col min="7" max="7" width="25.42578125" customWidth="1"/>
    <col min="8" max="8" width="12.7109375" customWidth="1"/>
    <col min="9" max="9" width="19.140625" customWidth="1"/>
    <col min="11" max="11" width="19" customWidth="1"/>
    <col min="12" max="12" width="6.42578125" customWidth="1"/>
    <col min="13" max="13" width="19.140625" customWidth="1"/>
    <col min="14" max="14" width="19" customWidth="1"/>
  </cols>
  <sheetData>
    <row r="1" spans="1:14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49</v>
      </c>
      <c r="K1" t="s">
        <v>50</v>
      </c>
      <c r="L1" t="s">
        <v>25</v>
      </c>
      <c r="M1" t="s">
        <v>47</v>
      </c>
      <c r="N1" t="s">
        <v>51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6</vt:i4>
      </vt:variant>
    </vt:vector>
  </HeadingPairs>
  <TitlesOfParts>
    <vt:vector size="20" baseType="lpstr">
      <vt:lpstr>Clientes</vt:lpstr>
      <vt:lpstr>Cotizador</vt:lpstr>
      <vt:lpstr>Cotizador(Hoja2)</vt:lpstr>
      <vt:lpstr>Cotizador(Hoja3)</vt:lpstr>
      <vt:lpstr>Facturacion</vt:lpstr>
      <vt:lpstr>Remitos</vt:lpstr>
      <vt:lpstr>Nota de Credito</vt:lpstr>
      <vt:lpstr>Registro de Facturas</vt:lpstr>
      <vt:lpstr>Configuracion</vt:lpstr>
      <vt:lpstr>Buscador</vt:lpstr>
      <vt:lpstr>Lista Reposicion</vt:lpstr>
      <vt:lpstr>Lista Mayorista</vt:lpstr>
      <vt:lpstr>Lista Gremio</vt:lpstr>
      <vt:lpstr>Lista Mostrador</vt:lpstr>
      <vt:lpstr>'Cotizador'!Área_de_impresión</vt:lpstr>
      <vt:lpstr>'Cotizador(Hoja2)'!Área_de_impresión</vt:lpstr>
      <vt:lpstr>'Cotizador(Hoja3)'!Área_de_impresión</vt:lpstr>
      <vt:lpstr>Facturacion!Área_de_impresión</vt:lpstr>
      <vt:lpstr>'Nota de Credito'!Área_de_impresión</vt:lpstr>
      <vt:lpstr>Remitos!Área_de_impresión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2025-08-28T21:17:01Z</dcterms:created>
  <dcterms:modified xsi:type="dcterms:W3CDTF">2025-08-28T22:10:15Z</dcterms:modified>
</cp:coreProperties>
</file>